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7802A01-C1CC-457C-BBEE-529AF6D071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HBOARD" sheetId="11" r:id="rId1"/>
    <sheet name="KPI" sheetId="10" r:id="rId2"/>
    <sheet name="P&amp;L Clean" sheetId="3" r:id="rId3"/>
    <sheet name="Balance Sheet Clean" sheetId="4" r:id="rId4"/>
    <sheet name="Cash Flow Clean" sheetId="5" r:id="rId5"/>
    <sheet name="Ratios" sheetId="6" r:id="rId6"/>
    <sheet name="COCA COLA CO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0" l="1"/>
  <c r="D4" i="10"/>
  <c r="E4" i="10"/>
  <c r="C5" i="10" l="1"/>
  <c r="B5" i="10"/>
  <c r="B4" i="10"/>
  <c r="C19" i="6" l="1"/>
  <c r="D19" i="6"/>
  <c r="E19" i="6"/>
  <c r="F19" i="6"/>
  <c r="G19" i="6"/>
  <c r="H19" i="6"/>
  <c r="I19" i="6"/>
  <c r="J19" i="6"/>
  <c r="K19" i="6"/>
  <c r="B19" i="6"/>
  <c r="C18" i="6"/>
  <c r="D18" i="6"/>
  <c r="E18" i="6"/>
  <c r="F18" i="6"/>
  <c r="G18" i="6"/>
  <c r="H18" i="6"/>
  <c r="I18" i="6"/>
  <c r="J18" i="6"/>
  <c r="K18" i="6"/>
  <c r="B18" i="6"/>
  <c r="J16" i="6"/>
  <c r="K16" i="6"/>
  <c r="B15" i="6"/>
  <c r="B16" i="6" s="1"/>
  <c r="C15" i="6"/>
  <c r="C16" i="6" s="1"/>
  <c r="D15" i="6"/>
  <c r="D16" i="6" s="1"/>
  <c r="E15" i="6"/>
  <c r="E16" i="6" s="1"/>
  <c r="F15" i="6"/>
  <c r="F16" i="6" s="1"/>
  <c r="G15" i="6"/>
  <c r="G16" i="6" s="1"/>
  <c r="H15" i="6"/>
  <c r="H16" i="6" s="1"/>
  <c r="I15" i="6"/>
  <c r="I16" i="6" s="1"/>
  <c r="J15" i="6"/>
  <c r="K15" i="6"/>
  <c r="B13" i="6"/>
  <c r="C13" i="6"/>
  <c r="D13" i="6"/>
  <c r="E13" i="6"/>
  <c r="F13" i="6"/>
  <c r="G13" i="6"/>
  <c r="H13" i="6"/>
  <c r="I13" i="6"/>
  <c r="J13" i="6"/>
  <c r="K13" i="6"/>
  <c r="C12" i="6"/>
  <c r="D12" i="6"/>
  <c r="E12" i="6"/>
  <c r="F12" i="6"/>
  <c r="G12" i="6"/>
  <c r="H12" i="6"/>
  <c r="I12" i="6"/>
  <c r="J12" i="6"/>
  <c r="K12" i="6"/>
  <c r="B12" i="6"/>
  <c r="C10" i="6"/>
  <c r="D10" i="6"/>
  <c r="E10" i="6"/>
  <c r="F10" i="6"/>
  <c r="G10" i="6"/>
  <c r="H10" i="6"/>
  <c r="I10" i="6"/>
  <c r="J10" i="6"/>
  <c r="K10" i="6"/>
  <c r="B10" i="6"/>
  <c r="C9" i="6"/>
  <c r="D9" i="6"/>
  <c r="E9" i="6"/>
  <c r="F9" i="6"/>
  <c r="G9" i="6"/>
  <c r="H9" i="6"/>
  <c r="I9" i="6"/>
  <c r="J9" i="6"/>
  <c r="K9" i="6"/>
  <c r="B9" i="6"/>
  <c r="D7" i="6"/>
  <c r="E7" i="6"/>
  <c r="F7" i="6"/>
  <c r="G7" i="6"/>
  <c r="H7" i="6"/>
  <c r="I7" i="6"/>
  <c r="J7" i="6"/>
  <c r="K7" i="6"/>
  <c r="C7" i="6"/>
  <c r="D6" i="6"/>
  <c r="E6" i="6"/>
  <c r="F6" i="6"/>
  <c r="G6" i="6"/>
  <c r="H6" i="6"/>
  <c r="I6" i="6"/>
  <c r="J6" i="6"/>
  <c r="K6" i="6"/>
  <c r="C6" i="6"/>
  <c r="C4" i="6"/>
  <c r="D4" i="6"/>
  <c r="E4" i="6"/>
  <c r="F4" i="6"/>
  <c r="G4" i="6"/>
  <c r="H4" i="6"/>
  <c r="I4" i="6"/>
  <c r="J4" i="6"/>
  <c r="K4" i="6"/>
  <c r="B4" i="6"/>
  <c r="C3" i="6"/>
  <c r="D3" i="6"/>
  <c r="E3" i="6"/>
  <c r="F3" i="6"/>
  <c r="G3" i="6"/>
  <c r="H3" i="6"/>
  <c r="I3" i="6"/>
  <c r="J3" i="6"/>
  <c r="K3" i="6"/>
  <c r="B3" i="6"/>
  <c r="C2" i="6"/>
  <c r="D2" i="6"/>
  <c r="E2" i="6"/>
  <c r="F2" i="6"/>
  <c r="G2" i="6"/>
  <c r="H2" i="6"/>
  <c r="I2" i="6"/>
  <c r="J2" i="6"/>
  <c r="K2" i="6"/>
  <c r="B2" i="6"/>
  <c r="F4" i="10" l="1"/>
  <c r="F5" i="10"/>
</calcChain>
</file>

<file path=xl/sharedStrings.xml><?xml version="1.0" encoding="utf-8"?>
<sst xmlns="http://schemas.openxmlformats.org/spreadsheetml/2006/main" count="292" uniqueCount="133">
  <si>
    <t>Data provided by SimFin</t>
  </si>
  <si>
    <t>Profit &amp; Loss statement</t>
  </si>
  <si>
    <t>in million USD</t>
  </si>
  <si>
    <t>FY '09</t>
  </si>
  <si>
    <t>FY '10</t>
  </si>
  <si>
    <t>FY '11</t>
  </si>
  <si>
    <t>FY '12</t>
  </si>
  <si>
    <t>FY '13</t>
  </si>
  <si>
    <t>FY '14</t>
  </si>
  <si>
    <t>FY '15</t>
  </si>
  <si>
    <t>FY '16</t>
  </si>
  <si>
    <t>FY '17</t>
  </si>
  <si>
    <t>FY '18</t>
  </si>
  <si>
    <t>NET OPERATING REVENUES</t>
  </si>
  <si>
    <t>Cost of goods sold</t>
  </si>
  <si>
    <t>Gross Profit</t>
  </si>
  <si>
    <t>Selling, general and administrative expenses</t>
  </si>
  <si>
    <t>Other operating charges</t>
  </si>
  <si>
    <t>Operating Income</t>
  </si>
  <si>
    <t>Interest income</t>
  </si>
  <si>
    <t>Interest expense</t>
  </si>
  <si>
    <t>Equity income (loss) - net</t>
  </si>
  <si>
    <t>Other income (loss) - net</t>
  </si>
  <si>
    <t>Income before income taxes</t>
  </si>
  <si>
    <t>Income taxes</t>
  </si>
  <si>
    <t>CONSOLIDATED NET INCOME</t>
  </si>
  <si>
    <t>Less: Net income attributable to noncontrolling interests</t>
  </si>
  <si>
    <t>Net income from continuing operations</t>
  </si>
  <si>
    <t>Income (Loss) from Discontinued Operations, Net of Tax, Including Portion Attributable to Noncontrolling Interest</t>
  </si>
  <si>
    <t>NET INCOME ATTRIBUTABLE TO SHAREOWNERS OF THE COCA-COLA COMPANY</t>
  </si>
  <si>
    <t>Balance Sheet</t>
  </si>
  <si>
    <t>Assets</t>
  </si>
  <si>
    <t>Cash and cash equivalents</t>
  </si>
  <si>
    <t>Short-term investments</t>
  </si>
  <si>
    <t>Total cash, cash equivalents and short-term investments</t>
  </si>
  <si>
    <t>Marketable securities</t>
  </si>
  <si>
    <t>Trade accounts receivable, less allowances</t>
  </si>
  <si>
    <t>Inventories</t>
  </si>
  <si>
    <t>Prepaid expenses and other assets</t>
  </si>
  <si>
    <t>Assets held for sale</t>
  </si>
  <si>
    <t>Total current assets</t>
  </si>
  <si>
    <t>Equity method investments</t>
  </si>
  <si>
    <t>Other investments</t>
  </si>
  <si>
    <t>Other assets</t>
  </si>
  <si>
    <t>Property, plant and equipment - net</t>
  </si>
  <si>
    <t>Deferred income tax assets</t>
  </si>
  <si>
    <t>TRADEMARKS WITH INDEFINITE LIVES</t>
  </si>
  <si>
    <t>BOTTLERS' FRANCHISE RIGHTS WITH INDEFINITE LIVES</t>
  </si>
  <si>
    <t>Goodwill</t>
  </si>
  <si>
    <t>Other intangible assets</t>
  </si>
  <si>
    <t>Total assets</t>
  </si>
  <si>
    <t>Liabilities</t>
  </si>
  <si>
    <t>Accounts payable and accrued expenses</t>
  </si>
  <si>
    <t>Loans and notes payable</t>
  </si>
  <si>
    <t>Current maturities of long-term debt</t>
  </si>
  <si>
    <t>Accrued income taxes</t>
  </si>
  <si>
    <t>Liabilities held for sale</t>
  </si>
  <si>
    <t>Liabilities Held for Sale, Discontinued Operations</t>
  </si>
  <si>
    <t>Total current liabilities</t>
  </si>
  <si>
    <t>Long-term debt</t>
  </si>
  <si>
    <t>Other liabilities</t>
  </si>
  <si>
    <t>Deferred income taxes</t>
  </si>
  <si>
    <t>Common stock</t>
  </si>
  <si>
    <t>Capital surplus</t>
  </si>
  <si>
    <t>Reinvested earnings</t>
  </si>
  <si>
    <t>Accumulated other comprehensive income (loss)</t>
  </si>
  <si>
    <t>Treasury stock, at cost</t>
  </si>
  <si>
    <t>EQUITY ATTRIBUTABLE TO SHAREOWNERS OF THE COCA-COLA COMPANY</t>
  </si>
  <si>
    <t>Equity attributable to noncontrolling interests</t>
  </si>
  <si>
    <t>Total equity</t>
  </si>
  <si>
    <t>Total liabilities and equity</t>
  </si>
  <si>
    <t>Cash Flow statement</t>
  </si>
  <si>
    <t>Depreciation and amortization</t>
  </si>
  <si>
    <t>(Income) Loss from discontinued operations</t>
  </si>
  <si>
    <t>Stock-based compensation expense</t>
  </si>
  <si>
    <t>Equity (income) loss - net of dividends</t>
  </si>
  <si>
    <t>Foreign currency adjustments</t>
  </si>
  <si>
    <t>Significant (gains) losses on sales of assets - net</t>
  </si>
  <si>
    <t>Other significant (gains) losses - net</t>
  </si>
  <si>
    <t>Other items</t>
  </si>
  <si>
    <t>Net change in operating assets and liabilities</t>
  </si>
  <si>
    <t>Net cash provided by operating activities</t>
  </si>
  <si>
    <t>Purchases of short-term investments</t>
  </si>
  <si>
    <t>Purchases of investments</t>
  </si>
  <si>
    <t>Proceeds from disposals of investments</t>
  </si>
  <si>
    <t>Acquisitions of businesses, equity method investments and nonmarketable securities</t>
  </si>
  <si>
    <t>Proceeds from disposals of businesses, equity method investments and nonmarkatable securities</t>
  </si>
  <si>
    <t>Purchases of property, plant and equipment</t>
  </si>
  <si>
    <t>Proceeds from disposals of property, plant and equipment</t>
  </si>
  <si>
    <t>Other investing activities</t>
  </si>
  <si>
    <t>Net cash provided by (used in) investing activities</t>
  </si>
  <si>
    <t>Issuances of debt</t>
  </si>
  <si>
    <t>Payments of debt</t>
  </si>
  <si>
    <t>Issuances of stock</t>
  </si>
  <si>
    <t>Purchases of stock for treasury</t>
  </si>
  <si>
    <t>Dividends</t>
  </si>
  <si>
    <t>Other financing activities</t>
  </si>
  <si>
    <t>Net cash provided by (used in) financing activities</t>
  </si>
  <si>
    <t>Cash Provided by (Used in) Operating Activities, Discontinued Operations</t>
  </si>
  <si>
    <t>Effect of exchange rate changes on cash and cash equivalents</t>
  </si>
  <si>
    <t>Cash Provided by (Used in) Investing Activities, Discontinued Operations</t>
  </si>
  <si>
    <t>Cash Provided by (Used in) Financing Activities, Discontinued Operations</t>
  </si>
  <si>
    <t>Net Cash Provided by (Used in) Discontinued Operations</t>
  </si>
  <si>
    <t>Net increase (decrease) during the year</t>
  </si>
  <si>
    <t>Line Item</t>
  </si>
  <si>
    <t>GROSS PROFIT</t>
  </si>
  <si>
    <t>OPERATING INCOME</t>
  </si>
  <si>
    <t>INCOME BEFORE INCOME TAXES</t>
  </si>
  <si>
    <t>Consolidated net income</t>
  </si>
  <si>
    <t>Metric</t>
  </si>
  <si>
    <t>Gross Margin %</t>
  </si>
  <si>
    <t>Operating Margin %</t>
  </si>
  <si>
    <t>Net Profit Margin %</t>
  </si>
  <si>
    <t>Revenue Growth %</t>
  </si>
  <si>
    <t>Net Income Growth %</t>
  </si>
  <si>
    <t>Current Ratio</t>
  </si>
  <si>
    <t>Debt-to-Equity</t>
  </si>
  <si>
    <t>ROA %</t>
  </si>
  <si>
    <t>ROE %</t>
  </si>
  <si>
    <t>Free Cash Flow</t>
  </si>
  <si>
    <t>FCF Margin %</t>
  </si>
  <si>
    <t>Total Liabilities</t>
  </si>
  <si>
    <t>Total Equity</t>
  </si>
  <si>
    <t>REVENUE (FY'18)</t>
  </si>
  <si>
    <t>Net Income</t>
  </si>
  <si>
    <t>GROSS MARGIN %</t>
  </si>
  <si>
    <t>FREE CASH FLOW</t>
  </si>
  <si>
    <t>KEY INSIGHTS</t>
  </si>
  <si>
    <t>* Revenue declined 33% from its FY'12 peak ($48.0B) to FY'18 ($31.9B), while gross margin stayed remarkably stable at 60–64% the entire decade.</t>
  </si>
  <si>
    <t>* FY'17 net income collapsed to $1.28B (net margin just 4%) due to a one-time U.S. tax reform charge — not a business problem — and rebounded sharply to $6.5B in FY'18.</t>
  </si>
  <si>
    <t>* Free Cash Flow stayed healthy ($5.2B–$8.2B every year) even during the FY'17 net income crash, showing the underlying cash-generating business stayed strong.</t>
  </si>
  <si>
    <t>* Debt-to-Equity rose steadily from 0.47x (FY'09) to 2.29x (FY'18), while the Current Ratio stayed flat around 1.0x–1.3x — the company took on significantly more leverage without straining short-term liquidity.</t>
  </si>
  <si>
    <t>* ROE consistently outpaced ROA across all 10 years, confirming leverage was actively boosting shareholder returns.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</si>
</sst>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&quot;-&quot;"/>
    <numFmt numFmtId="165" formatCode="0.0%"/>
    <numFmt numFmtId="166" formatCode="&quot;$&quot;#,##0&quot; M&quot;"/>
  </numFmts>
  <fonts count="12" x14ac:knownFonts="1">
    <font>
      <sz val="11"/>
      <color rgb="FF000000"/>
      <name val="Calibri"/>
    </font>
    <font>
      <b/>
      <sz val="11"/>
      <color rgb="FFFFFFFF"/>
      <name val="Calibri"/>
    </font>
    <font>
      <b/>
      <sz val="9"/>
      <color rgb="FFFFFFFF"/>
      <name val="Arial"/>
    </font>
    <font>
      <b/>
      <sz val="11"/>
      <color rgb="FF000000"/>
      <name val="Calibri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26"/>
      <color rgb="FF000000"/>
      <name val="Calibri"/>
      <family val="2"/>
    </font>
    <font>
      <sz val="20"/>
      <color rgb="FF000000"/>
      <name val="Calibri"/>
      <family val="2"/>
    </font>
    <font>
      <b/>
      <sz val="16"/>
      <color rgb="FF000000"/>
      <name val="Arial"/>
      <family val="2"/>
    </font>
    <font>
      <sz val="1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3399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7">
    <xf numFmtId="0" fontId="0" fillId="2" borderId="0" xfId="0" applyFill="1"/>
    <xf numFmtId="0" fontId="1" fillId="3" borderId="0" xfId="0" applyFont="1" applyFill="1"/>
    <xf numFmtId="0" fontId="2" fillId="3" borderId="0" xfId="0" applyFont="1" applyFill="1"/>
    <xf numFmtId="3" fontId="0" fillId="2" borderId="0" xfId="0" applyNumberFormat="1" applyFill="1"/>
    <xf numFmtId="0" fontId="3" fillId="2" borderId="1" xfId="0" applyFont="1" applyFill="1" applyBorder="1"/>
    <xf numFmtId="3" fontId="3" fillId="2" borderId="1" xfId="0" applyNumberFormat="1" applyFont="1" applyFill="1" applyBorder="1"/>
    <xf numFmtId="0" fontId="4" fillId="2" borderId="0" xfId="0" applyFont="1" applyFill="1"/>
    <xf numFmtId="49" fontId="4" fillId="2" borderId="0" xfId="0" applyNumberFormat="1" applyFont="1" applyFill="1"/>
    <xf numFmtId="164" fontId="4" fillId="2" borderId="0" xfId="0" applyNumberFormat="1" applyFont="1" applyFill="1"/>
    <xf numFmtId="0" fontId="5" fillId="2" borderId="1" xfId="0" applyFont="1" applyFill="1" applyBorder="1"/>
    <xf numFmtId="164" fontId="5" fillId="2" borderId="1" xfId="0" applyNumberFormat="1" applyFont="1" applyFill="1" applyBorder="1"/>
    <xf numFmtId="3" fontId="4" fillId="2" borderId="0" xfId="0" applyNumberFormat="1" applyFont="1" applyFill="1"/>
    <xf numFmtId="0" fontId="5" fillId="2" borderId="0" xfId="0" applyFont="1" applyFill="1"/>
    <xf numFmtId="0" fontId="7" fillId="2" borderId="0" xfId="0" applyFont="1" applyFill="1"/>
    <xf numFmtId="9" fontId="0" fillId="2" borderId="0" xfId="1" applyFont="1" applyFill="1"/>
    <xf numFmtId="165" fontId="0" fillId="2" borderId="0" xfId="1" applyNumberFormat="1" applyFont="1" applyFill="1"/>
    <xf numFmtId="2" fontId="0" fillId="2" borderId="0" xfId="0" applyNumberFormat="1" applyFill="1"/>
    <xf numFmtId="164" fontId="0" fillId="2" borderId="0" xfId="0" applyNumberFormat="1" applyFill="1"/>
    <xf numFmtId="9" fontId="0" fillId="2" borderId="0" xfId="0" applyNumberFormat="1" applyFill="1"/>
    <xf numFmtId="0" fontId="8" fillId="2" borderId="0" xfId="0" applyFont="1" applyFill="1"/>
    <xf numFmtId="0" fontId="9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0" fillId="2" borderId="0" xfId="0" applyFont="1" applyFill="1"/>
    <xf numFmtId="0" fontId="11" fillId="2" borderId="0" xfId="0" applyFont="1" applyFill="1"/>
    <xf numFmtId="0" fontId="11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166" fontId="0" fillId="2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9"/>
  <colors>
    <mruColors>
      <color rgb="FF14F02E"/>
      <color rgb="FF568424"/>
      <color rgb="FF1A1A1A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'P&amp;L Clean'!$A$3</c:f>
              <c:strCache>
                <c:ptCount val="1"/>
                <c:pt idx="0">
                  <c:v>NET OPERATING REVENUES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'P&amp;L Clean'!$B$2:$K$2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'P&amp;L Clean'!$B$3:$K$3</c:f>
              <c:numCache>
                <c:formatCode>#,##0;\(#,##0\);"-"</c:formatCode>
                <c:ptCount val="10"/>
                <c:pt idx="0">
                  <c:v>30990</c:v>
                </c:pt>
                <c:pt idx="1">
                  <c:v>35119</c:v>
                </c:pt>
                <c:pt idx="2">
                  <c:v>46542</c:v>
                </c:pt>
                <c:pt idx="3">
                  <c:v>48017</c:v>
                </c:pt>
                <c:pt idx="4">
                  <c:v>46854</c:v>
                </c:pt>
                <c:pt idx="5">
                  <c:v>45998</c:v>
                </c:pt>
                <c:pt idx="6">
                  <c:v>44294</c:v>
                </c:pt>
                <c:pt idx="7">
                  <c:v>41863</c:v>
                </c:pt>
                <c:pt idx="8">
                  <c:v>35410</c:v>
                </c:pt>
                <c:pt idx="9">
                  <c:v>31856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34-4B40-B1D0-0D6E9A5A6CF6}"/>
            </c:ext>
          </c:extLst>
        </c:ser>
        <c:ser>
          <c:idx val="1"/>
          <c:order val="1"/>
          <c:tx>
            <c:strRef>
              <c:f>'P&amp;L Clean'!$A$15</c:f>
              <c:strCache>
                <c:ptCount val="1"/>
                <c:pt idx="0">
                  <c:v>CONSOLIDATED NET 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'P&amp;L Clean'!$B$2:$K$2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'P&amp;L Clean'!$B$15:$K$15</c:f>
              <c:numCache>
                <c:formatCode>#,##0;\(#,##0\);"-"</c:formatCode>
                <c:ptCount val="10"/>
                <c:pt idx="0">
                  <c:v>6906</c:v>
                </c:pt>
                <c:pt idx="1">
                  <c:v>11837</c:v>
                </c:pt>
                <c:pt idx="2">
                  <c:v>8646</c:v>
                </c:pt>
                <c:pt idx="3">
                  <c:v>9086</c:v>
                </c:pt>
                <c:pt idx="4">
                  <c:v>8626</c:v>
                </c:pt>
                <c:pt idx="5">
                  <c:v>7124</c:v>
                </c:pt>
                <c:pt idx="6">
                  <c:v>7366</c:v>
                </c:pt>
                <c:pt idx="7">
                  <c:v>6550</c:v>
                </c:pt>
                <c:pt idx="8">
                  <c:v>1283</c:v>
                </c:pt>
                <c:pt idx="9">
                  <c:v>6476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34-4B40-B1D0-0D6E9A5A6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442384"/>
        <c:axId val="451190096"/>
      </c:lineChart>
      <c:catAx>
        <c:axId val="441442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1190096"/>
        <c:crosses val="autoZero"/>
        <c:auto val="1"/>
        <c:lblAlgn val="ctr"/>
        <c:lblOffset val="100"/>
        <c:noMultiLvlLbl val="0"/>
      </c:catAx>
      <c:valAx>
        <c:axId val="45119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-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44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Ratios!$A$2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Ratios!$B$1:$K$1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Ratios!$B$2:$K$2</c:f>
              <c:numCache>
                <c:formatCode>0%</c:formatCode>
                <c:ptCount val="10"/>
                <c:pt idx="0">
                  <c:v>0.6422071636011617</c:v>
                </c:pt>
                <c:pt idx="1">
                  <c:v>0.63857171331757734</c:v>
                </c:pt>
                <c:pt idx="2">
                  <c:v>0.60863306261011563</c:v>
                </c:pt>
                <c:pt idx="3">
                  <c:v>0.60320303225940808</c:v>
                </c:pt>
                <c:pt idx="4">
                  <c:v>0.60684253212105688</c:v>
                </c:pt>
                <c:pt idx="5">
                  <c:v>0.61109178659941732</c:v>
                </c:pt>
                <c:pt idx="6">
                  <c:v>0.60531900483135415</c:v>
                </c:pt>
                <c:pt idx="7">
                  <c:v>0.60669326135250701</c:v>
                </c:pt>
                <c:pt idx="8">
                  <c:v>0.62567071448743294</c:v>
                </c:pt>
                <c:pt idx="9">
                  <c:v>0.63052486187845302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B5-4339-887F-27CB719B4228}"/>
            </c:ext>
          </c:extLst>
        </c:ser>
        <c:ser>
          <c:idx val="1"/>
          <c:order val="1"/>
          <c:tx>
            <c:strRef>
              <c:f>Ratios!$A$3</c:f>
              <c:strCache>
                <c:ptCount val="1"/>
                <c:pt idx="0">
                  <c:v>Operating Margin %</c:v>
                </c:pt>
              </c:strCache>
            </c:strRef>
          </c:tx>
          <c:spPr>
            <a:ln w="28575" cap="rnd">
              <a:solidFill>
                <a:srgbClr val="14F02E"/>
              </a:solidFill>
              <a:round/>
            </a:ln>
            <a:effectLst/>
          </c:spPr>
          <c:marker>
            <c:symbol val="none"/>
          </c:marker>
          <c:cat>
            <c:strRef>
              <c:f>Ratios!$B$1:$K$1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Ratios!$B$3:$K$3</c:f>
              <c:numCache>
                <c:formatCode>0%</c:formatCode>
                <c:ptCount val="10"/>
                <c:pt idx="0">
                  <c:v>0.26560180703452729</c:v>
                </c:pt>
                <c:pt idx="1">
                  <c:v>0.23955693499245423</c:v>
                </c:pt>
                <c:pt idx="2">
                  <c:v>0.21857676936960166</c:v>
                </c:pt>
                <c:pt idx="3">
                  <c:v>0.22448299560572296</c:v>
                </c:pt>
                <c:pt idx="4">
                  <c:v>0.21829512955137234</c:v>
                </c:pt>
                <c:pt idx="5">
                  <c:v>0.21105265446323754</c:v>
                </c:pt>
                <c:pt idx="6">
                  <c:v>0.19704700410890866</c:v>
                </c:pt>
                <c:pt idx="7">
                  <c:v>0.20605307789694957</c:v>
                </c:pt>
                <c:pt idx="8">
                  <c:v>0.21460039536853995</c:v>
                </c:pt>
                <c:pt idx="9">
                  <c:v>0.27310396785534907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B5-4339-887F-27CB719B4228}"/>
            </c:ext>
          </c:extLst>
        </c:ser>
        <c:ser>
          <c:idx val="2"/>
          <c:order val="2"/>
          <c:tx>
            <c:strRef>
              <c:f>Ratios!$A$4</c:f>
              <c:strCache>
                <c:ptCount val="1"/>
                <c:pt idx="0">
                  <c:v>Net Profit Margin %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Ratios!$B$1:$K$1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Ratios!$B$4:$K$4</c:f>
              <c:numCache>
                <c:formatCode>0%</c:formatCode>
                <c:ptCount val="10"/>
                <c:pt idx="0">
                  <c:v>0.22284607938044532</c:v>
                </c:pt>
                <c:pt idx="1">
                  <c:v>0.33705401634442894</c:v>
                </c:pt>
                <c:pt idx="2">
                  <c:v>0.18576769369601651</c:v>
                </c:pt>
                <c:pt idx="3">
                  <c:v>0.18922464960326552</c:v>
                </c:pt>
                <c:pt idx="4">
                  <c:v>0.18410381184103811</c:v>
                </c:pt>
                <c:pt idx="5">
                  <c:v>0.1548762989695204</c:v>
                </c:pt>
                <c:pt idx="6">
                  <c:v>0.16629791845396669</c:v>
                </c:pt>
                <c:pt idx="7">
                  <c:v>0.15646274753362158</c:v>
                </c:pt>
                <c:pt idx="8">
                  <c:v>3.6232702626376727E-2</c:v>
                </c:pt>
                <c:pt idx="9">
                  <c:v>0.2032898041185334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B5-4339-887F-27CB719B4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831712"/>
        <c:axId val="388959536"/>
      </c:lineChart>
      <c:catAx>
        <c:axId val="445831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8959536"/>
        <c:crosses val="autoZero"/>
        <c:auto val="1"/>
        <c:lblAlgn val="ctr"/>
        <c:lblOffset val="100"/>
        <c:noMultiLvlLbl val="0"/>
      </c:catAx>
      <c:valAx>
        <c:axId val="38895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83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Ratios!$A$6</c:f>
              <c:strCache>
                <c:ptCount val="1"/>
                <c:pt idx="0">
                  <c:v>Revenue Growth %</c:v>
                </c:pt>
              </c:strCache>
            </c:strRef>
          </c:tx>
          <c:spPr>
            <a:solidFill>
              <a:srgbClr val="14F02E"/>
            </a:solidFill>
            <a:ln>
              <a:noFill/>
            </a:ln>
            <a:effectLst/>
          </c:spPr>
          <c:invertIfNegative val="0"/>
          <c:cat>
            <c:strRef>
              <c:f>Ratios!$B$1:$K$1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Ratios!$B$6:$K$6</c:f>
              <c:numCache>
                <c:formatCode>0.0%</c:formatCode>
                <c:ptCount val="10"/>
                <c:pt idx="1">
                  <c:v>0.13323652791222976</c:v>
                </c:pt>
                <c:pt idx="2">
                  <c:v>0.32526552578376378</c:v>
                </c:pt>
                <c:pt idx="3">
                  <c:v>3.1691805251170983E-2</c:v>
                </c:pt>
                <c:pt idx="4">
                  <c:v>-2.4220588541558199E-2</c:v>
                </c:pt>
                <c:pt idx="5">
                  <c:v>-1.8269518077432025E-2</c:v>
                </c:pt>
                <c:pt idx="6">
                  <c:v>-3.7045088916909434E-2</c:v>
                </c:pt>
                <c:pt idx="7">
                  <c:v>-5.4883279902469863E-2</c:v>
                </c:pt>
                <c:pt idx="8">
                  <c:v>-0.15414566562358167</c:v>
                </c:pt>
                <c:pt idx="9">
                  <c:v>-0.10036712792996329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5-4BBA-A779-EE75B0FD539D}"/>
            </c:ext>
          </c:extLst>
        </c:ser>
        <c:ser>
          <c:idx val="1"/>
          <c:order val="1"/>
          <c:tx>
            <c:strRef>
              <c:f>Ratios!$A$7</c:f>
              <c:strCache>
                <c:ptCount val="1"/>
                <c:pt idx="0">
                  <c:v>Net Income Growth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Ratios!$B$1:$K$1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Ratios!$B$7:$K$7</c:f>
              <c:numCache>
                <c:formatCode>0.0%</c:formatCode>
                <c:ptCount val="10"/>
                <c:pt idx="1">
                  <c:v>0.71401679698812626</c:v>
                </c:pt>
                <c:pt idx="2">
                  <c:v>-0.26957844048323054</c:v>
                </c:pt>
                <c:pt idx="3">
                  <c:v>5.0890585241730277E-2</c:v>
                </c:pt>
                <c:pt idx="4">
                  <c:v>-5.0627338762931982E-2</c:v>
                </c:pt>
                <c:pt idx="5">
                  <c:v>-0.17412473916067703</c:v>
                </c:pt>
                <c:pt idx="6">
                  <c:v>3.3969679955081412E-2</c:v>
                </c:pt>
                <c:pt idx="7">
                  <c:v>-0.1107792560412707</c:v>
                </c:pt>
                <c:pt idx="8">
                  <c:v>-0.80412213740458016</c:v>
                </c:pt>
                <c:pt idx="9">
                  <c:v>4.0475448168355417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5-4BBA-A779-EE75B0FD5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157712"/>
        <c:axId val="245063920"/>
      </c:barChart>
      <c:catAx>
        <c:axId val="45115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063920"/>
        <c:crosses val="autoZero"/>
        <c:auto val="1"/>
        <c:lblAlgn val="ctr"/>
        <c:lblOffset val="100"/>
        <c:noMultiLvlLbl val="0"/>
      </c:catAx>
      <c:valAx>
        <c:axId val="2450639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crossAx val="45115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A1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Ratios!$A$18</c:f>
              <c:strCache>
                <c:ptCount val="1"/>
                <c:pt idx="0">
                  <c:v>Total Liabilities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Ratios!$B$1:$K$1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Ratios!$B$18:$K$18</c:f>
              <c:numCache>
                <c:formatCode>#,##0;\(#,##0\);"-"</c:formatCode>
                <c:ptCount val="10"/>
                <c:pt idx="0">
                  <c:v>23325</c:v>
                </c:pt>
                <c:pt idx="1">
                  <c:v>41604</c:v>
                </c:pt>
                <c:pt idx="2">
                  <c:v>48053</c:v>
                </c:pt>
                <c:pt idx="3">
                  <c:v>53006</c:v>
                </c:pt>
                <c:pt idx="4">
                  <c:v>56615</c:v>
                </c:pt>
                <c:pt idx="5">
                  <c:v>61462</c:v>
                </c:pt>
                <c:pt idx="6">
                  <c:v>64232</c:v>
                </c:pt>
                <c:pt idx="7">
                  <c:v>64050</c:v>
                </c:pt>
                <c:pt idx="8">
                  <c:v>68919</c:v>
                </c:pt>
                <c:pt idx="9">
                  <c:v>64158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C-4850-BABA-6B1C5C3F0D3C}"/>
            </c:ext>
          </c:extLst>
        </c:ser>
        <c:ser>
          <c:idx val="1"/>
          <c:order val="1"/>
          <c:tx>
            <c:strRef>
              <c:f>Ratios!$A$19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Ratios!$B$1:$K$1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Ratios!$B$19:$K$19</c:f>
              <c:numCache>
                <c:formatCode>#,##0;\(#,##0\);"-"</c:formatCode>
                <c:ptCount val="10"/>
                <c:pt idx="0">
                  <c:v>25346</c:v>
                </c:pt>
                <c:pt idx="1">
                  <c:v>31317</c:v>
                </c:pt>
                <c:pt idx="2">
                  <c:v>31921</c:v>
                </c:pt>
                <c:pt idx="3">
                  <c:v>33168</c:v>
                </c:pt>
                <c:pt idx="4">
                  <c:v>33440</c:v>
                </c:pt>
                <c:pt idx="5">
                  <c:v>30561</c:v>
                </c:pt>
                <c:pt idx="6">
                  <c:v>25764</c:v>
                </c:pt>
                <c:pt idx="7">
                  <c:v>23220</c:v>
                </c:pt>
                <c:pt idx="8">
                  <c:v>18977</c:v>
                </c:pt>
                <c:pt idx="9">
                  <c:v>19058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EC-4850-BABA-6B1C5C3F0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9159376"/>
        <c:axId val="245058640"/>
      </c:barChart>
      <c:catAx>
        <c:axId val="19491593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45058640"/>
        <c:crosses val="autoZero"/>
        <c:auto val="1"/>
        <c:lblAlgn val="ctr"/>
        <c:lblOffset val="100"/>
        <c:noMultiLvlLbl val="0"/>
      </c:catAx>
      <c:valAx>
        <c:axId val="245058640"/>
        <c:scaling>
          <c:orientation val="minMax"/>
        </c:scaling>
        <c:delete val="1"/>
        <c:axPos val="l"/>
        <c:numFmt formatCode="#,##0;\(#,##0\);&quot;-&quot;" sourceLinked="1"/>
        <c:majorTickMark val="none"/>
        <c:minorTickMark val="none"/>
        <c:tickLblPos val="nextTo"/>
        <c:crossAx val="194915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'Cash Flow Clean'!$A$16</c:f>
              <c:strCache>
                <c:ptCount val="1"/>
                <c:pt idx="0">
                  <c:v>Net cash provided by operating activities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'Cash Flow Clean'!$B$2:$K$2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'Cash Flow Clean'!$B$16:$K$16</c:f>
              <c:numCache>
                <c:formatCode>#,##0;\(#,##0\);"-"</c:formatCode>
                <c:ptCount val="10"/>
                <c:pt idx="0">
                  <c:v>8186</c:v>
                </c:pt>
                <c:pt idx="1">
                  <c:v>9532</c:v>
                </c:pt>
                <c:pt idx="2">
                  <c:v>9474</c:v>
                </c:pt>
                <c:pt idx="3">
                  <c:v>10645</c:v>
                </c:pt>
                <c:pt idx="4">
                  <c:v>10542</c:v>
                </c:pt>
                <c:pt idx="5">
                  <c:v>10615</c:v>
                </c:pt>
                <c:pt idx="6">
                  <c:v>10528</c:v>
                </c:pt>
                <c:pt idx="7">
                  <c:v>8796</c:v>
                </c:pt>
                <c:pt idx="8">
                  <c:v>6930</c:v>
                </c:pt>
                <c:pt idx="9">
                  <c:v>7320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7-4D93-9B4F-90C32ADA5970}"/>
            </c:ext>
          </c:extLst>
        </c:ser>
        <c:ser>
          <c:idx val="1"/>
          <c:order val="1"/>
          <c:tx>
            <c:strRef>
              <c:f>'Cash Flow Clean'!$A$25</c:f>
              <c:strCache>
                <c:ptCount val="1"/>
                <c:pt idx="0">
                  <c:v>Net cash provided by (used in) investing activities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'Cash Flow Clean'!$B$2:$K$2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'Cash Flow Clean'!$B$25:$K$25</c:f>
              <c:numCache>
                <c:formatCode>#,##0;\(#,##0\);"-"</c:formatCode>
                <c:ptCount val="10"/>
                <c:pt idx="0">
                  <c:v>-4149</c:v>
                </c:pt>
                <c:pt idx="1">
                  <c:v>-4405</c:v>
                </c:pt>
                <c:pt idx="2">
                  <c:v>-2524</c:v>
                </c:pt>
                <c:pt idx="3">
                  <c:v>-11404</c:v>
                </c:pt>
                <c:pt idx="4">
                  <c:v>-4214</c:v>
                </c:pt>
                <c:pt idx="5">
                  <c:v>-7506</c:v>
                </c:pt>
                <c:pt idx="6">
                  <c:v>-6186</c:v>
                </c:pt>
                <c:pt idx="7">
                  <c:v>-999</c:v>
                </c:pt>
                <c:pt idx="8">
                  <c:v>-2254</c:v>
                </c:pt>
                <c:pt idx="9">
                  <c:v>6348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97-4D93-9B4F-90C32ADA5970}"/>
            </c:ext>
          </c:extLst>
        </c:ser>
        <c:ser>
          <c:idx val="2"/>
          <c:order val="2"/>
          <c:tx>
            <c:strRef>
              <c:f>'Cash Flow Clean'!$A$32</c:f>
              <c:strCache>
                <c:ptCount val="1"/>
                <c:pt idx="0">
                  <c:v>Net cash provided by (used in) financing activities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'Cash Flow Clean'!$B$2:$K$2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'Cash Flow Clean'!$B$32:$K$32</c:f>
              <c:numCache>
                <c:formatCode>#,##0;\(#,##0\);"-"</c:formatCode>
                <c:ptCount val="10"/>
                <c:pt idx="0">
                  <c:v>-2293</c:v>
                </c:pt>
                <c:pt idx="1">
                  <c:v>-3465</c:v>
                </c:pt>
                <c:pt idx="2">
                  <c:v>-2234</c:v>
                </c:pt>
                <c:pt idx="3">
                  <c:v>-3347</c:v>
                </c:pt>
                <c:pt idx="4">
                  <c:v>-3745</c:v>
                </c:pt>
                <c:pt idx="5">
                  <c:v>-3631</c:v>
                </c:pt>
                <c:pt idx="6">
                  <c:v>-5113</c:v>
                </c:pt>
                <c:pt idx="7">
                  <c:v>-6545</c:v>
                </c:pt>
                <c:pt idx="8">
                  <c:v>-7409</c:v>
                </c:pt>
                <c:pt idx="9">
                  <c:v>-10552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97-4D93-9B4F-90C32ADA5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074720"/>
        <c:axId val="245067760"/>
      </c:barChart>
      <c:catAx>
        <c:axId val="70107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067760"/>
        <c:crosses val="autoZero"/>
        <c:auto val="1"/>
        <c:lblAlgn val="ctr"/>
        <c:lblOffset val="100"/>
        <c:noMultiLvlLbl val="0"/>
      </c:catAx>
      <c:valAx>
        <c:axId val="245067760"/>
        <c:scaling>
          <c:orientation val="minMax"/>
        </c:scaling>
        <c:delete val="1"/>
        <c:axPos val="l"/>
        <c:numFmt formatCode="#,##0;\(#,##0\);&quot;-&quot;" sourceLinked="1"/>
        <c:majorTickMark val="none"/>
        <c:minorTickMark val="none"/>
        <c:tickLblPos val="nextTo"/>
        <c:crossAx val="70107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Ratios!$A$9</c:f>
              <c:strCache>
                <c:ptCount val="1"/>
                <c:pt idx="0">
                  <c:v>Current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Ratios!$B$1:$K$1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Ratios!$B$9:$K$9</c:f>
              <c:numCache>
                <c:formatCode>0.00</c:formatCode>
                <c:ptCount val="10"/>
                <c:pt idx="0">
                  <c:v>1.2791341738940309</c:v>
                </c:pt>
                <c:pt idx="1">
                  <c:v>1.1659282472444348</c:v>
                </c:pt>
                <c:pt idx="2">
                  <c:v>1.0499938228390231</c:v>
                </c:pt>
                <c:pt idx="3">
                  <c:v>1.0901117860608893</c:v>
                </c:pt>
                <c:pt idx="4">
                  <c:v>1.1255977850490813</c:v>
                </c:pt>
                <c:pt idx="5">
                  <c:v>1.0189040588126275</c:v>
                </c:pt>
                <c:pt idx="6">
                  <c:v>1.2401128894500353</c:v>
                </c:pt>
                <c:pt idx="7">
                  <c:v>1.2818483340871401</c:v>
                </c:pt>
                <c:pt idx="8">
                  <c:v>1.3438626167536956</c:v>
                </c:pt>
                <c:pt idx="9">
                  <c:v>1.048283885980221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D9-499B-9F69-B5BE0436FA9C}"/>
            </c:ext>
          </c:extLst>
        </c:ser>
        <c:ser>
          <c:idx val="1"/>
          <c:order val="1"/>
          <c:tx>
            <c:strRef>
              <c:f>Ratios!$A$10</c:f>
              <c:strCache>
                <c:ptCount val="1"/>
                <c:pt idx="0">
                  <c:v>Debt-to-Equity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Ratios!$B$1:$K$1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Ratios!$B$10:$K$10</c:f>
              <c:numCache>
                <c:formatCode>0.00</c:formatCode>
                <c:ptCount val="10"/>
                <c:pt idx="0">
                  <c:v>0.46788447881322498</c:v>
                </c:pt>
                <c:pt idx="1">
                  <c:v>0.74774084363125459</c:v>
                </c:pt>
                <c:pt idx="2">
                  <c:v>0.89495943109551701</c:v>
                </c:pt>
                <c:pt idx="3">
                  <c:v>0.9831765557163531</c:v>
                </c:pt>
                <c:pt idx="4">
                  <c:v>1.1088217703349281</c:v>
                </c:pt>
                <c:pt idx="5">
                  <c:v>1.3659566113674291</c:v>
                </c:pt>
                <c:pt idx="6">
                  <c:v>1.7123117528334109</c:v>
                </c:pt>
                <c:pt idx="7">
                  <c:v>1.9685185185185186</c:v>
                </c:pt>
                <c:pt idx="8">
                  <c:v>2.512778626758708</c:v>
                </c:pt>
                <c:pt idx="9">
                  <c:v>2.2853919613810474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D9-499B-9F69-B5BE0436F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369568"/>
        <c:axId val="726577744"/>
      </c:lineChart>
      <c:catAx>
        <c:axId val="7363695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26577744"/>
        <c:crosses val="autoZero"/>
        <c:auto val="1"/>
        <c:lblAlgn val="ctr"/>
        <c:lblOffset val="100"/>
        <c:noMultiLvlLbl val="0"/>
      </c:catAx>
      <c:valAx>
        <c:axId val="7265777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73636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Ratios!$A$12</c:f>
              <c:strCache>
                <c:ptCount val="1"/>
                <c:pt idx="0">
                  <c:v>ROA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Ratios!$B$1:$K$1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Ratios!$B$12:$K$12</c:f>
              <c:numCache>
                <c:formatCode>0%</c:formatCode>
                <c:ptCount val="10"/>
                <c:pt idx="0">
                  <c:v>0.14189147541657249</c:v>
                </c:pt>
                <c:pt idx="1">
                  <c:v>0.1623263531767255</c:v>
                </c:pt>
                <c:pt idx="2">
                  <c:v>0.10811013579413309</c:v>
                </c:pt>
                <c:pt idx="3">
                  <c:v>0.10543783507786571</c:v>
                </c:pt>
                <c:pt idx="4">
                  <c:v>9.5785908611404139E-2</c:v>
                </c:pt>
                <c:pt idx="5">
                  <c:v>7.7415428751507781E-2</c:v>
                </c:pt>
                <c:pt idx="6">
                  <c:v>8.1848082136983871E-2</c:v>
                </c:pt>
                <c:pt idx="7">
                  <c:v>7.5054428784232838E-2</c:v>
                </c:pt>
                <c:pt idx="8">
                  <c:v>1.4596796213707108E-2</c:v>
                </c:pt>
                <c:pt idx="9">
                  <c:v>7.7821572774466455E-2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9-4F15-A3F0-F979526788DB}"/>
            </c:ext>
          </c:extLst>
        </c:ser>
        <c:ser>
          <c:idx val="1"/>
          <c:order val="1"/>
          <c:tx>
            <c:strRef>
              <c:f>Ratios!$A$13</c:f>
              <c:strCache>
                <c:ptCount val="1"/>
                <c:pt idx="0">
                  <c:v>ROE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Ratios!$B$1:$K$1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Ratios!$B$13:$K$13</c:f>
              <c:numCache>
                <c:formatCode>0%</c:formatCode>
                <c:ptCount val="10"/>
                <c:pt idx="0">
                  <c:v>0.27246902864357297</c:v>
                </c:pt>
                <c:pt idx="1">
                  <c:v>0.37797362454896699</c:v>
                </c:pt>
                <c:pt idx="2">
                  <c:v>0.27085617618495661</c:v>
                </c:pt>
                <c:pt idx="3">
                  <c:v>0.27393873613121078</c:v>
                </c:pt>
                <c:pt idx="4">
                  <c:v>0.25795454545454544</c:v>
                </c:pt>
                <c:pt idx="5">
                  <c:v>0.23310755538104119</c:v>
                </c:pt>
                <c:pt idx="6">
                  <c:v>0.28590281012265178</c:v>
                </c:pt>
                <c:pt idx="7">
                  <c:v>0.28208440999138673</c:v>
                </c:pt>
                <c:pt idx="8">
                  <c:v>6.7608157242978348E-2</c:v>
                </c:pt>
                <c:pt idx="9">
                  <c:v>0.33980480638052263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F9-4F15-A3F0-F97952678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156784"/>
        <c:axId val="451191056"/>
      </c:lineChart>
      <c:catAx>
        <c:axId val="4511567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1191056"/>
        <c:crosses val="autoZero"/>
        <c:auto val="1"/>
        <c:lblAlgn val="ctr"/>
        <c:lblOffset val="100"/>
        <c:noMultiLvlLbl val="0"/>
      </c:catAx>
      <c:valAx>
        <c:axId val="45119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15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rgbClr val="1A1A1A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'P&amp;L Clean'!$A$3</c:f>
              <c:strCache>
                <c:ptCount val="1"/>
                <c:pt idx="0">
                  <c:v>NET OPERATING REVENUES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'P&amp;L Clean'!$B$2:$K$2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'P&amp;L Clean'!$B$3:$K$3</c:f>
              <c:numCache>
                <c:formatCode>#,##0;\(#,##0\);"-"</c:formatCode>
                <c:ptCount val="10"/>
                <c:pt idx="0">
                  <c:v>30990</c:v>
                </c:pt>
                <c:pt idx="1">
                  <c:v>35119</c:v>
                </c:pt>
                <c:pt idx="2">
                  <c:v>46542</c:v>
                </c:pt>
                <c:pt idx="3">
                  <c:v>48017</c:v>
                </c:pt>
                <c:pt idx="4">
                  <c:v>46854</c:v>
                </c:pt>
                <c:pt idx="5">
                  <c:v>45998</c:v>
                </c:pt>
                <c:pt idx="6">
                  <c:v>44294</c:v>
                </c:pt>
                <c:pt idx="7">
                  <c:v>41863</c:v>
                </c:pt>
                <c:pt idx="8">
                  <c:v>35410</c:v>
                </c:pt>
                <c:pt idx="9">
                  <c:v>31856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57-47C7-82B4-B1A285078960}"/>
            </c:ext>
          </c:extLst>
        </c:ser>
        <c:ser>
          <c:idx val="1"/>
          <c:order val="1"/>
          <c:tx>
            <c:strRef>
              <c:f>'P&amp;L Clean'!$A$15</c:f>
              <c:strCache>
                <c:ptCount val="1"/>
                <c:pt idx="0">
                  <c:v>CONSOLIDATED NET 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'P&amp;L Clean'!$B$2:$K$2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'P&amp;L Clean'!$B$15:$K$15</c:f>
              <c:numCache>
                <c:formatCode>#,##0;\(#,##0\);"-"</c:formatCode>
                <c:ptCount val="10"/>
                <c:pt idx="0">
                  <c:v>6906</c:v>
                </c:pt>
                <c:pt idx="1">
                  <c:v>11837</c:v>
                </c:pt>
                <c:pt idx="2">
                  <c:v>8646</c:v>
                </c:pt>
                <c:pt idx="3">
                  <c:v>9086</c:v>
                </c:pt>
                <c:pt idx="4">
                  <c:v>8626</c:v>
                </c:pt>
                <c:pt idx="5">
                  <c:v>7124</c:v>
                </c:pt>
                <c:pt idx="6">
                  <c:v>7366</c:v>
                </c:pt>
                <c:pt idx="7">
                  <c:v>6550</c:v>
                </c:pt>
                <c:pt idx="8">
                  <c:v>1283</c:v>
                </c:pt>
                <c:pt idx="9">
                  <c:v>6476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57-47C7-82B4-B1A285078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442384"/>
        <c:axId val="451190096"/>
      </c:lineChart>
      <c:catAx>
        <c:axId val="44144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190096"/>
        <c:crosses val="autoZero"/>
        <c:auto val="1"/>
        <c:lblAlgn val="ctr"/>
        <c:lblOffset val="100"/>
        <c:noMultiLvlLbl val="0"/>
      </c:catAx>
      <c:valAx>
        <c:axId val="45119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-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44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A1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'Cash Flow Clean'!$A$16</c:f>
              <c:strCache>
                <c:ptCount val="1"/>
                <c:pt idx="0">
                  <c:v>Net cash provided by operating activities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'Cash Flow Clean'!$B$2:$K$2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'Cash Flow Clean'!$B$16:$K$16</c:f>
              <c:numCache>
                <c:formatCode>#,##0;\(#,##0\);"-"</c:formatCode>
                <c:ptCount val="10"/>
                <c:pt idx="0">
                  <c:v>8186</c:v>
                </c:pt>
                <c:pt idx="1">
                  <c:v>9532</c:v>
                </c:pt>
                <c:pt idx="2">
                  <c:v>9474</c:v>
                </c:pt>
                <c:pt idx="3">
                  <c:v>10645</c:v>
                </c:pt>
                <c:pt idx="4">
                  <c:v>10542</c:v>
                </c:pt>
                <c:pt idx="5">
                  <c:v>10615</c:v>
                </c:pt>
                <c:pt idx="6">
                  <c:v>10528</c:v>
                </c:pt>
                <c:pt idx="7">
                  <c:v>8796</c:v>
                </c:pt>
                <c:pt idx="8">
                  <c:v>6930</c:v>
                </c:pt>
                <c:pt idx="9">
                  <c:v>7320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0-414B-AB7E-3B47C12C17C8}"/>
            </c:ext>
          </c:extLst>
        </c:ser>
        <c:ser>
          <c:idx val="1"/>
          <c:order val="1"/>
          <c:tx>
            <c:strRef>
              <c:f>'Cash Flow Clean'!$A$25</c:f>
              <c:strCache>
                <c:ptCount val="1"/>
                <c:pt idx="0">
                  <c:v>Net cash provided by (used in) investing activities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'Cash Flow Clean'!$B$2:$K$2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'Cash Flow Clean'!$B$25:$K$25</c:f>
              <c:numCache>
                <c:formatCode>#,##0;\(#,##0\);"-"</c:formatCode>
                <c:ptCount val="10"/>
                <c:pt idx="0">
                  <c:v>-4149</c:v>
                </c:pt>
                <c:pt idx="1">
                  <c:v>-4405</c:v>
                </c:pt>
                <c:pt idx="2">
                  <c:v>-2524</c:v>
                </c:pt>
                <c:pt idx="3">
                  <c:v>-11404</c:v>
                </c:pt>
                <c:pt idx="4">
                  <c:v>-4214</c:v>
                </c:pt>
                <c:pt idx="5">
                  <c:v>-7506</c:v>
                </c:pt>
                <c:pt idx="6">
                  <c:v>-6186</c:v>
                </c:pt>
                <c:pt idx="7">
                  <c:v>-999</c:v>
                </c:pt>
                <c:pt idx="8">
                  <c:v>-2254</c:v>
                </c:pt>
                <c:pt idx="9">
                  <c:v>6348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E0-414B-AB7E-3B47C12C17C8}"/>
            </c:ext>
          </c:extLst>
        </c:ser>
        <c:ser>
          <c:idx val="2"/>
          <c:order val="2"/>
          <c:tx>
            <c:strRef>
              <c:f>'Cash Flow Clean'!$A$32</c:f>
              <c:strCache>
                <c:ptCount val="1"/>
                <c:pt idx="0">
                  <c:v>Net cash provided by (used in) financing activities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'Cash Flow Clean'!$B$2:$K$2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'Cash Flow Clean'!$B$32:$K$32</c:f>
              <c:numCache>
                <c:formatCode>#,##0;\(#,##0\);"-"</c:formatCode>
                <c:ptCount val="10"/>
                <c:pt idx="0">
                  <c:v>-2293</c:v>
                </c:pt>
                <c:pt idx="1">
                  <c:v>-3465</c:v>
                </c:pt>
                <c:pt idx="2">
                  <c:v>-2234</c:v>
                </c:pt>
                <c:pt idx="3">
                  <c:v>-3347</c:v>
                </c:pt>
                <c:pt idx="4">
                  <c:v>-3745</c:v>
                </c:pt>
                <c:pt idx="5">
                  <c:v>-3631</c:v>
                </c:pt>
                <c:pt idx="6">
                  <c:v>-5113</c:v>
                </c:pt>
                <c:pt idx="7">
                  <c:v>-6545</c:v>
                </c:pt>
                <c:pt idx="8">
                  <c:v>-7409</c:v>
                </c:pt>
                <c:pt idx="9">
                  <c:v>-10552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E0-414B-AB7E-3B47C12C1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074720"/>
        <c:axId val="245067760"/>
      </c:barChart>
      <c:catAx>
        <c:axId val="70107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067760"/>
        <c:crosses val="autoZero"/>
        <c:auto val="1"/>
        <c:lblAlgn val="ctr"/>
        <c:lblOffset val="100"/>
        <c:noMultiLvlLbl val="0"/>
      </c:catAx>
      <c:valAx>
        <c:axId val="245067760"/>
        <c:scaling>
          <c:orientation val="minMax"/>
        </c:scaling>
        <c:delete val="1"/>
        <c:axPos val="l"/>
        <c:numFmt formatCode="#,##0;\(#,##0\);&quot;-&quot;" sourceLinked="1"/>
        <c:majorTickMark val="none"/>
        <c:minorTickMark val="none"/>
        <c:tickLblPos val="nextTo"/>
        <c:crossAx val="70107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A1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Ratios!$A$2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Ratios!$B$1:$K$1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Ratios!$B$2:$K$2</c:f>
              <c:numCache>
                <c:formatCode>0%</c:formatCode>
                <c:ptCount val="10"/>
                <c:pt idx="0">
                  <c:v>0.6422071636011617</c:v>
                </c:pt>
                <c:pt idx="1">
                  <c:v>0.63857171331757734</c:v>
                </c:pt>
                <c:pt idx="2">
                  <c:v>0.60863306261011563</c:v>
                </c:pt>
                <c:pt idx="3">
                  <c:v>0.60320303225940808</c:v>
                </c:pt>
                <c:pt idx="4">
                  <c:v>0.60684253212105688</c:v>
                </c:pt>
                <c:pt idx="5">
                  <c:v>0.61109178659941732</c:v>
                </c:pt>
                <c:pt idx="6">
                  <c:v>0.60531900483135415</c:v>
                </c:pt>
                <c:pt idx="7">
                  <c:v>0.60669326135250701</c:v>
                </c:pt>
                <c:pt idx="8">
                  <c:v>0.62567071448743294</c:v>
                </c:pt>
                <c:pt idx="9">
                  <c:v>0.63052486187845302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6E-413B-8ACD-8C9E37951B5F}"/>
            </c:ext>
          </c:extLst>
        </c:ser>
        <c:ser>
          <c:idx val="1"/>
          <c:order val="1"/>
          <c:tx>
            <c:strRef>
              <c:f>Ratios!$A$3</c:f>
              <c:strCache>
                <c:ptCount val="1"/>
                <c:pt idx="0">
                  <c:v>Operating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Ratios!$B$1:$K$1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Ratios!$B$3:$K$3</c:f>
              <c:numCache>
                <c:formatCode>0%</c:formatCode>
                <c:ptCount val="10"/>
                <c:pt idx="0">
                  <c:v>0.26560180703452729</c:v>
                </c:pt>
                <c:pt idx="1">
                  <c:v>0.23955693499245423</c:v>
                </c:pt>
                <c:pt idx="2">
                  <c:v>0.21857676936960166</c:v>
                </c:pt>
                <c:pt idx="3">
                  <c:v>0.22448299560572296</c:v>
                </c:pt>
                <c:pt idx="4">
                  <c:v>0.21829512955137234</c:v>
                </c:pt>
                <c:pt idx="5">
                  <c:v>0.21105265446323754</c:v>
                </c:pt>
                <c:pt idx="6">
                  <c:v>0.19704700410890866</c:v>
                </c:pt>
                <c:pt idx="7">
                  <c:v>0.20605307789694957</c:v>
                </c:pt>
                <c:pt idx="8">
                  <c:v>0.21460039536853995</c:v>
                </c:pt>
                <c:pt idx="9">
                  <c:v>0.27310396785534907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6E-413B-8ACD-8C9E37951B5F}"/>
            </c:ext>
          </c:extLst>
        </c:ser>
        <c:ser>
          <c:idx val="2"/>
          <c:order val="2"/>
          <c:tx>
            <c:strRef>
              <c:f>Ratios!$A$4</c:f>
              <c:strCache>
                <c:ptCount val="1"/>
                <c:pt idx="0">
                  <c:v>Net Profit Margin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Ratios!$B$1:$K$1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Ratios!$B$4:$K$4</c:f>
              <c:numCache>
                <c:formatCode>0%</c:formatCode>
                <c:ptCount val="10"/>
                <c:pt idx="0">
                  <c:v>0.22284607938044532</c:v>
                </c:pt>
                <c:pt idx="1">
                  <c:v>0.33705401634442894</c:v>
                </c:pt>
                <c:pt idx="2">
                  <c:v>0.18576769369601651</c:v>
                </c:pt>
                <c:pt idx="3">
                  <c:v>0.18922464960326552</c:v>
                </c:pt>
                <c:pt idx="4">
                  <c:v>0.18410381184103811</c:v>
                </c:pt>
                <c:pt idx="5">
                  <c:v>0.1548762989695204</c:v>
                </c:pt>
                <c:pt idx="6">
                  <c:v>0.16629791845396669</c:v>
                </c:pt>
                <c:pt idx="7">
                  <c:v>0.15646274753362158</c:v>
                </c:pt>
                <c:pt idx="8">
                  <c:v>3.6232702626376727E-2</c:v>
                </c:pt>
                <c:pt idx="9">
                  <c:v>0.2032898041185334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6E-413B-8ACD-8C9E37951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831712"/>
        <c:axId val="388959536"/>
      </c:lineChart>
      <c:catAx>
        <c:axId val="44583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959536"/>
        <c:crosses val="autoZero"/>
        <c:auto val="1"/>
        <c:lblAlgn val="ctr"/>
        <c:lblOffset val="100"/>
        <c:noMultiLvlLbl val="0"/>
      </c:catAx>
      <c:valAx>
        <c:axId val="38895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83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Ratios!$A$6</c:f>
              <c:strCache>
                <c:ptCount val="1"/>
                <c:pt idx="0">
                  <c:v>Revenue Growth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Ratios!$B$1:$K$1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Ratios!$B$6:$K$6</c:f>
              <c:numCache>
                <c:formatCode>0.0%</c:formatCode>
                <c:ptCount val="10"/>
                <c:pt idx="1">
                  <c:v>0.13323652791222976</c:v>
                </c:pt>
                <c:pt idx="2">
                  <c:v>0.32526552578376378</c:v>
                </c:pt>
                <c:pt idx="3">
                  <c:v>3.1691805251170983E-2</c:v>
                </c:pt>
                <c:pt idx="4">
                  <c:v>-2.4220588541558199E-2</c:v>
                </c:pt>
                <c:pt idx="5">
                  <c:v>-1.8269518077432025E-2</c:v>
                </c:pt>
                <c:pt idx="6">
                  <c:v>-3.7045088916909434E-2</c:v>
                </c:pt>
                <c:pt idx="7">
                  <c:v>-5.4883279902469863E-2</c:v>
                </c:pt>
                <c:pt idx="8">
                  <c:v>-0.15414566562358167</c:v>
                </c:pt>
                <c:pt idx="9">
                  <c:v>-0.10036712792996329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3-4935-955E-785876A8498D}"/>
            </c:ext>
          </c:extLst>
        </c:ser>
        <c:ser>
          <c:idx val="1"/>
          <c:order val="1"/>
          <c:tx>
            <c:strRef>
              <c:f>Ratios!$A$7</c:f>
              <c:strCache>
                <c:ptCount val="1"/>
                <c:pt idx="0">
                  <c:v>Net Income Growth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Ratios!$B$1:$K$1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Ratios!$B$7:$K$7</c:f>
              <c:numCache>
                <c:formatCode>0.0%</c:formatCode>
                <c:ptCount val="10"/>
                <c:pt idx="1">
                  <c:v>0.71401679698812626</c:v>
                </c:pt>
                <c:pt idx="2">
                  <c:v>-0.26957844048323054</c:v>
                </c:pt>
                <c:pt idx="3">
                  <c:v>5.0890585241730277E-2</c:v>
                </c:pt>
                <c:pt idx="4">
                  <c:v>-5.0627338762931982E-2</c:v>
                </c:pt>
                <c:pt idx="5">
                  <c:v>-0.17412473916067703</c:v>
                </c:pt>
                <c:pt idx="6">
                  <c:v>3.3969679955081412E-2</c:v>
                </c:pt>
                <c:pt idx="7">
                  <c:v>-0.1107792560412707</c:v>
                </c:pt>
                <c:pt idx="8">
                  <c:v>-0.80412213740458016</c:v>
                </c:pt>
                <c:pt idx="9">
                  <c:v>4.0475448168355417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B3-4935-955E-785876A84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157712"/>
        <c:axId val="245063920"/>
      </c:barChart>
      <c:catAx>
        <c:axId val="45115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063920"/>
        <c:crosses val="autoZero"/>
        <c:auto val="1"/>
        <c:lblAlgn val="ctr"/>
        <c:lblOffset val="100"/>
        <c:noMultiLvlLbl val="0"/>
      </c:catAx>
      <c:valAx>
        <c:axId val="24506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15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A1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Ratios!$A$18</c:f>
              <c:strCache>
                <c:ptCount val="1"/>
                <c:pt idx="0">
                  <c:v>Total Liabilities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Ratios!$B$1:$K$1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Ratios!$B$18:$K$18</c:f>
              <c:numCache>
                <c:formatCode>#,##0;\(#,##0\);"-"</c:formatCode>
                <c:ptCount val="10"/>
                <c:pt idx="0">
                  <c:v>23325</c:v>
                </c:pt>
                <c:pt idx="1">
                  <c:v>41604</c:v>
                </c:pt>
                <c:pt idx="2">
                  <c:v>48053</c:v>
                </c:pt>
                <c:pt idx="3">
                  <c:v>53006</c:v>
                </c:pt>
                <c:pt idx="4">
                  <c:v>56615</c:v>
                </c:pt>
                <c:pt idx="5">
                  <c:v>61462</c:v>
                </c:pt>
                <c:pt idx="6">
                  <c:v>64232</c:v>
                </c:pt>
                <c:pt idx="7">
                  <c:v>64050</c:v>
                </c:pt>
                <c:pt idx="8">
                  <c:v>68919</c:v>
                </c:pt>
                <c:pt idx="9">
                  <c:v>64158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9-4019-A068-EE2CF3F7CE88}"/>
            </c:ext>
          </c:extLst>
        </c:ser>
        <c:ser>
          <c:idx val="1"/>
          <c:order val="1"/>
          <c:tx>
            <c:strRef>
              <c:f>Ratios!$A$19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Ratios!$B$1:$K$1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Ratios!$B$19:$K$19</c:f>
              <c:numCache>
                <c:formatCode>#,##0;\(#,##0\);"-"</c:formatCode>
                <c:ptCount val="10"/>
                <c:pt idx="0">
                  <c:v>25346</c:v>
                </c:pt>
                <c:pt idx="1">
                  <c:v>31317</c:v>
                </c:pt>
                <c:pt idx="2">
                  <c:v>31921</c:v>
                </c:pt>
                <c:pt idx="3">
                  <c:v>33168</c:v>
                </c:pt>
                <c:pt idx="4">
                  <c:v>33440</c:v>
                </c:pt>
                <c:pt idx="5">
                  <c:v>30561</c:v>
                </c:pt>
                <c:pt idx="6">
                  <c:v>25764</c:v>
                </c:pt>
                <c:pt idx="7">
                  <c:v>23220</c:v>
                </c:pt>
                <c:pt idx="8">
                  <c:v>18977</c:v>
                </c:pt>
                <c:pt idx="9">
                  <c:v>19058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89-4019-A068-EE2CF3F7C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9159376"/>
        <c:axId val="245058640"/>
      </c:barChart>
      <c:catAx>
        <c:axId val="19491593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45058640"/>
        <c:crosses val="autoZero"/>
        <c:auto val="1"/>
        <c:lblAlgn val="ctr"/>
        <c:lblOffset val="100"/>
        <c:noMultiLvlLbl val="0"/>
      </c:catAx>
      <c:valAx>
        <c:axId val="2450586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-&quot;" sourceLinked="1"/>
        <c:majorTickMark val="none"/>
        <c:minorTickMark val="none"/>
        <c:tickLblPos val="nextTo"/>
        <c:crossAx val="194915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A1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Ratios!$A$9</c:f>
              <c:strCache>
                <c:ptCount val="1"/>
                <c:pt idx="0">
                  <c:v>Current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Ratios!$B$1:$K$1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Ratios!$B$9:$K$9</c:f>
              <c:numCache>
                <c:formatCode>0.00</c:formatCode>
                <c:ptCount val="10"/>
                <c:pt idx="0">
                  <c:v>1.2791341738940309</c:v>
                </c:pt>
                <c:pt idx="1">
                  <c:v>1.1659282472444348</c:v>
                </c:pt>
                <c:pt idx="2">
                  <c:v>1.0499938228390231</c:v>
                </c:pt>
                <c:pt idx="3">
                  <c:v>1.0901117860608893</c:v>
                </c:pt>
                <c:pt idx="4">
                  <c:v>1.1255977850490813</c:v>
                </c:pt>
                <c:pt idx="5">
                  <c:v>1.0189040588126275</c:v>
                </c:pt>
                <c:pt idx="6">
                  <c:v>1.2401128894500353</c:v>
                </c:pt>
                <c:pt idx="7">
                  <c:v>1.2818483340871401</c:v>
                </c:pt>
                <c:pt idx="8">
                  <c:v>1.3438626167536956</c:v>
                </c:pt>
                <c:pt idx="9">
                  <c:v>1.048283885980221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C6-46B7-9170-6A406E7E7FEF}"/>
            </c:ext>
          </c:extLst>
        </c:ser>
        <c:ser>
          <c:idx val="1"/>
          <c:order val="1"/>
          <c:tx>
            <c:strRef>
              <c:f>Ratios!$A$10</c:f>
              <c:strCache>
                <c:ptCount val="1"/>
                <c:pt idx="0">
                  <c:v>Debt-to-Equity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Ratios!$B$1:$K$1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Ratios!$B$10:$K$10</c:f>
              <c:numCache>
                <c:formatCode>0.00</c:formatCode>
                <c:ptCount val="10"/>
                <c:pt idx="0">
                  <c:v>0.46788447881322498</c:v>
                </c:pt>
                <c:pt idx="1">
                  <c:v>0.74774084363125459</c:v>
                </c:pt>
                <c:pt idx="2">
                  <c:v>0.89495943109551701</c:v>
                </c:pt>
                <c:pt idx="3">
                  <c:v>0.9831765557163531</c:v>
                </c:pt>
                <c:pt idx="4">
                  <c:v>1.1088217703349281</c:v>
                </c:pt>
                <c:pt idx="5">
                  <c:v>1.3659566113674291</c:v>
                </c:pt>
                <c:pt idx="6">
                  <c:v>1.7123117528334109</c:v>
                </c:pt>
                <c:pt idx="7">
                  <c:v>1.9685185185185186</c:v>
                </c:pt>
                <c:pt idx="8">
                  <c:v>2.512778626758708</c:v>
                </c:pt>
                <c:pt idx="9">
                  <c:v>2.2853919613810474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C6-46B7-9170-6A406E7E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369568"/>
        <c:axId val="726577744"/>
      </c:lineChart>
      <c:catAx>
        <c:axId val="7363695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26577744"/>
        <c:crosses val="autoZero"/>
        <c:auto val="1"/>
        <c:lblAlgn val="ctr"/>
        <c:lblOffset val="100"/>
        <c:noMultiLvlLbl val="0"/>
      </c:catAx>
      <c:valAx>
        <c:axId val="7265777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73636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A1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Ratios!$A$12</c:f>
              <c:strCache>
                <c:ptCount val="1"/>
                <c:pt idx="0">
                  <c:v>ROA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Ratios!$B$1:$K$1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Ratios!$B$12:$K$12</c:f>
              <c:numCache>
                <c:formatCode>0%</c:formatCode>
                <c:ptCount val="10"/>
                <c:pt idx="0">
                  <c:v>0.14189147541657249</c:v>
                </c:pt>
                <c:pt idx="1">
                  <c:v>0.1623263531767255</c:v>
                </c:pt>
                <c:pt idx="2">
                  <c:v>0.10811013579413309</c:v>
                </c:pt>
                <c:pt idx="3">
                  <c:v>0.10543783507786571</c:v>
                </c:pt>
                <c:pt idx="4">
                  <c:v>9.5785908611404139E-2</c:v>
                </c:pt>
                <c:pt idx="5">
                  <c:v>7.7415428751507781E-2</c:v>
                </c:pt>
                <c:pt idx="6">
                  <c:v>8.1848082136983871E-2</c:v>
                </c:pt>
                <c:pt idx="7">
                  <c:v>7.5054428784232838E-2</c:v>
                </c:pt>
                <c:pt idx="8">
                  <c:v>1.4596796213707108E-2</c:v>
                </c:pt>
                <c:pt idx="9">
                  <c:v>7.7821572774466455E-2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AB-4524-8268-046B2204778C}"/>
            </c:ext>
          </c:extLst>
        </c:ser>
        <c:ser>
          <c:idx val="1"/>
          <c:order val="1"/>
          <c:tx>
            <c:strRef>
              <c:f>Ratios!$A$13</c:f>
              <c:strCache>
                <c:ptCount val="1"/>
                <c:pt idx="0">
                  <c:v>ROE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Ratios!$B$1:$K$1</c:f>
              <c:strCache>
                <c:ptCount val="10"/>
                <c:pt idx="0">
                  <c:v>FY '09</c:v>
                </c:pt>
                <c:pt idx="1">
                  <c:v>FY '10</c:v>
                </c:pt>
                <c:pt idx="2">
                  <c:v>FY '11</c:v>
                </c:pt>
                <c:pt idx="3">
                  <c:v>FY '12</c:v>
                </c:pt>
                <c:pt idx="4">
                  <c:v>FY '13</c:v>
                </c:pt>
                <c:pt idx="5">
                  <c:v>FY '14</c:v>
                </c:pt>
                <c:pt idx="6">
                  <c:v>FY '15</c:v>
                </c:pt>
                <c:pt idx="7">
                  <c:v>FY '16</c:v>
                </c:pt>
                <c:pt idx="8">
                  <c:v>FY '17</c:v>
                </c:pt>
                <c:pt idx="9">
                  <c:v>FY '18</c:v>
                </c:pt>
              </c:strCache>
            </c:strRef>
          </c:cat>
          <c:val>
            <c:numRef>
              <c:f>Ratios!$B$13:$K$13</c:f>
              <c:numCache>
                <c:formatCode>0%</c:formatCode>
                <c:ptCount val="10"/>
                <c:pt idx="0">
                  <c:v>0.27246902864357297</c:v>
                </c:pt>
                <c:pt idx="1">
                  <c:v>0.37797362454896699</c:v>
                </c:pt>
                <c:pt idx="2">
                  <c:v>0.27085617618495661</c:v>
                </c:pt>
                <c:pt idx="3">
                  <c:v>0.27393873613121078</c:v>
                </c:pt>
                <c:pt idx="4">
                  <c:v>0.25795454545454544</c:v>
                </c:pt>
                <c:pt idx="5">
                  <c:v>0.23310755538104119</c:v>
                </c:pt>
                <c:pt idx="6">
                  <c:v>0.28590281012265178</c:v>
                </c:pt>
                <c:pt idx="7">
                  <c:v>0.28208440999138673</c:v>
                </c:pt>
                <c:pt idx="8">
                  <c:v>6.7608157242978348E-2</c:v>
                </c:pt>
                <c:pt idx="9">
                  <c:v>0.33980480638052263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AB-4524-8268-046B22047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156784"/>
        <c:axId val="451191056"/>
      </c:lineChart>
      <c:catAx>
        <c:axId val="4511567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1191056"/>
        <c:crosses val="autoZero"/>
        <c:auto val="1"/>
        <c:lblAlgn val="ctr"/>
        <c:lblOffset val="100"/>
        <c:noMultiLvlLbl val="0"/>
      </c:catAx>
      <c:valAx>
        <c:axId val="45119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15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A1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1A1A1A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0</xdr:row>
      <xdr:rowOff>47625</xdr:rowOff>
    </xdr:from>
    <xdr:to>
      <xdr:col>32</xdr:col>
      <xdr:colOff>440531</xdr:colOff>
      <xdr:row>55</xdr:row>
      <xdr:rowOff>35719</xdr:rowOff>
    </xdr:to>
    <xdr:grpSp>
      <xdr:nvGrpSpPr>
        <xdr:cNvPr id="257" name="Group 256">
          <a:extLst>
            <a:ext uri="{FF2B5EF4-FFF2-40B4-BE49-F238E27FC236}">
              <a16:creationId xmlns:a16="http://schemas.microsoft.com/office/drawing/2014/main" id="{0B8A9148-726E-2AA8-78DB-51A3EF60487D}"/>
            </a:ext>
          </a:extLst>
        </xdr:cNvPr>
        <xdr:cNvGrpSpPr/>
      </xdr:nvGrpSpPr>
      <xdr:grpSpPr>
        <a:xfrm>
          <a:off x="1281113" y="47625"/>
          <a:ext cx="18590418" cy="10465594"/>
          <a:chOff x="1281113" y="47625"/>
          <a:chExt cx="15180468" cy="8572500"/>
        </a:xfrm>
      </xdr:grpSpPr>
      <xdr:pic>
        <xdr:nvPicPr>
          <xdr:cNvPr id="2" name="Graphic 1">
            <a:extLst>
              <a:ext uri="{FF2B5EF4-FFF2-40B4-BE49-F238E27FC236}">
                <a16:creationId xmlns:a16="http://schemas.microsoft.com/office/drawing/2014/main" id="{190FEE44-0B8B-0519-9B4E-3292F633E2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281113" y="47625"/>
            <a:ext cx="15180468" cy="8572500"/>
          </a:xfrm>
          <a:prstGeom prst="rect">
            <a:avLst/>
          </a:prstGeom>
        </xdr:spPr>
      </xdr:pic>
      <xdr:grpSp>
        <xdr:nvGrpSpPr>
          <xdr:cNvPr id="53" name="Group 52">
            <a:extLst>
              <a:ext uri="{FF2B5EF4-FFF2-40B4-BE49-F238E27FC236}">
                <a16:creationId xmlns:a16="http://schemas.microsoft.com/office/drawing/2014/main" id="{18E6767E-1521-1794-A461-53FE36B58048}"/>
              </a:ext>
            </a:extLst>
          </xdr:cNvPr>
          <xdr:cNvGrpSpPr/>
        </xdr:nvGrpSpPr>
        <xdr:grpSpPr>
          <a:xfrm>
            <a:off x="1888330" y="1695450"/>
            <a:ext cx="1331416" cy="619125"/>
            <a:chOff x="1895475" y="1695450"/>
            <a:chExt cx="1334449" cy="619125"/>
          </a:xfrm>
        </xdr:grpSpPr>
        <xdr:sp macro="" textlink="KPI!B4">
          <xdr:nvSpPr>
            <xdr:cNvPr id="49" name="TextBox 48">
              <a:extLst>
                <a:ext uri="{FF2B5EF4-FFF2-40B4-BE49-F238E27FC236}">
                  <a16:creationId xmlns:a16="http://schemas.microsoft.com/office/drawing/2014/main" id="{CAD81A90-1CE6-2E62-E9B0-BAECFF86B456}"/>
                </a:ext>
              </a:extLst>
            </xdr:cNvPr>
            <xdr:cNvSpPr txBox="1"/>
          </xdr:nvSpPr>
          <xdr:spPr>
            <a:xfrm>
              <a:off x="1905000" y="1695450"/>
              <a:ext cx="1324924" cy="361950"/>
            </a:xfrm>
            <a:prstGeom prst="rect">
              <a:avLst/>
            </a:prstGeom>
            <a:solidFill>
              <a:srgbClr val="1A1A1A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F886EFA7-41C5-4EC0-BC8D-8EB765B74987}" type="TxLink">
                <a:rPr lang="en-US" sz="24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/>
                <a:t>$31,856 M</a:t>
              </a:fld>
              <a:endParaRPr lang="en-IN" sz="2400">
                <a:solidFill>
                  <a:schemeClr val="bg1"/>
                </a:solidFill>
              </a:endParaRPr>
            </a:p>
          </xdr:txBody>
        </xdr:sp>
        <xdr:sp macro="" textlink="KPI!B5">
          <xdr:nvSpPr>
            <xdr:cNvPr id="50" name="TextBox 49">
              <a:extLst>
                <a:ext uri="{FF2B5EF4-FFF2-40B4-BE49-F238E27FC236}">
                  <a16:creationId xmlns:a16="http://schemas.microsoft.com/office/drawing/2014/main" id="{0C11CF69-B8B2-1977-7818-7E589579C735}"/>
                </a:ext>
              </a:extLst>
            </xdr:cNvPr>
            <xdr:cNvSpPr txBox="1"/>
          </xdr:nvSpPr>
          <xdr:spPr>
            <a:xfrm>
              <a:off x="1895475" y="2076450"/>
              <a:ext cx="723900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244995D3-8E35-46F8-A1ED-BB09BE8D15E7}" type="TxLink">
                <a:rPr lang="en-US" sz="1100" b="0" i="0" u="none" strike="noStrike">
                  <a:solidFill>
                    <a:srgbClr val="FF0000"/>
                  </a:solidFill>
                  <a:latin typeface="Calibri"/>
                  <a:ea typeface="Calibri"/>
                  <a:cs typeface="Calibri"/>
                </a:rPr>
                <a:pPr/>
                <a:t>-10%</a:t>
              </a:fld>
              <a:endParaRPr lang="en-IN" sz="1100">
                <a:solidFill>
                  <a:srgbClr val="FF0000"/>
                </a:solidFill>
              </a:endParaRPr>
            </a:p>
          </xdr:txBody>
        </xdr:sp>
      </xdr:grpSp>
      <xdr:grpSp>
        <xdr:nvGrpSpPr>
          <xdr:cNvPr id="66" name="Group 65">
            <a:extLst>
              <a:ext uri="{FF2B5EF4-FFF2-40B4-BE49-F238E27FC236}">
                <a16:creationId xmlns:a16="http://schemas.microsoft.com/office/drawing/2014/main" id="{4FBDF77D-9EE6-71AB-FD23-5B31CBE2B3C6}"/>
              </a:ext>
            </a:extLst>
          </xdr:cNvPr>
          <xdr:cNvGrpSpPr/>
        </xdr:nvGrpSpPr>
        <xdr:grpSpPr>
          <a:xfrm>
            <a:off x="4793457" y="1676400"/>
            <a:ext cx="1278731" cy="600075"/>
            <a:chOff x="4905376" y="1695450"/>
            <a:chExt cx="1257299" cy="695325"/>
          </a:xfrm>
        </xdr:grpSpPr>
        <xdr:sp macro="" textlink="KPI!C4">
          <xdr:nvSpPr>
            <xdr:cNvPr id="64" name="TextBox 63">
              <a:extLst>
                <a:ext uri="{FF2B5EF4-FFF2-40B4-BE49-F238E27FC236}">
                  <a16:creationId xmlns:a16="http://schemas.microsoft.com/office/drawing/2014/main" id="{7EF77B4A-3216-5DBA-2ADB-B4B993545598}"/>
                </a:ext>
              </a:extLst>
            </xdr:cNvPr>
            <xdr:cNvSpPr txBox="1"/>
          </xdr:nvSpPr>
          <xdr:spPr>
            <a:xfrm>
              <a:off x="4905376" y="1695450"/>
              <a:ext cx="1257299" cy="435295"/>
            </a:xfrm>
            <a:prstGeom prst="rect">
              <a:avLst/>
            </a:prstGeom>
            <a:solidFill>
              <a:srgbClr val="1A1A1A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D5FF7C4B-E1D8-4A59-8D56-DD21F621C2B3}" type="TxLink">
                <a:rPr lang="en-US" sz="24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/>
                <a:t>$6,476 M</a:t>
              </a:fld>
              <a:endParaRPr lang="en-IN" sz="2400">
                <a:solidFill>
                  <a:schemeClr val="bg1"/>
                </a:solidFill>
              </a:endParaRPr>
            </a:p>
          </xdr:txBody>
        </xdr:sp>
        <xdr:sp macro="" textlink="KPI!C5">
          <xdr:nvSpPr>
            <xdr:cNvPr id="65" name="TextBox 64">
              <a:extLst>
                <a:ext uri="{FF2B5EF4-FFF2-40B4-BE49-F238E27FC236}">
                  <a16:creationId xmlns:a16="http://schemas.microsoft.com/office/drawing/2014/main" id="{53261869-9757-FE14-DBAF-1A0B933200D4}"/>
                </a:ext>
              </a:extLst>
            </xdr:cNvPr>
            <xdr:cNvSpPr txBox="1"/>
          </xdr:nvSpPr>
          <xdr:spPr>
            <a:xfrm>
              <a:off x="5000466" y="2132972"/>
              <a:ext cx="876649" cy="25780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 u="none" strike="noStrike">
                  <a:solidFill>
                    <a:srgbClr val="92D050"/>
                  </a:solidFill>
                  <a:latin typeface="Calibri"/>
                  <a:ea typeface="Calibri"/>
                  <a:cs typeface="Calibri"/>
                </a:rPr>
                <a:t>+</a:t>
              </a:r>
              <a:fld id="{C61E6982-9C5D-43F2-81F6-F598F55A72F0}" type="TxLink">
                <a:rPr lang="en-US" sz="1100" b="0" i="0" u="none" strike="noStrike">
                  <a:solidFill>
                    <a:srgbClr val="92D050"/>
                  </a:solidFill>
                  <a:latin typeface="Calibri"/>
                  <a:ea typeface="Calibri"/>
                  <a:cs typeface="Calibri"/>
                </a:rPr>
                <a:pPr/>
                <a:t>405%</a:t>
              </a:fld>
              <a:endParaRPr lang="en-IN" sz="2400">
                <a:solidFill>
                  <a:srgbClr val="92D050"/>
                </a:solidFill>
              </a:endParaRPr>
            </a:p>
          </xdr:txBody>
        </xdr:sp>
      </xdr:grpSp>
      <xdr:sp macro="" textlink="KPI!D4">
        <xdr:nvSpPr>
          <xdr:cNvPr id="68" name="TextBox 67">
            <a:extLst>
              <a:ext uri="{FF2B5EF4-FFF2-40B4-BE49-F238E27FC236}">
                <a16:creationId xmlns:a16="http://schemas.microsoft.com/office/drawing/2014/main" id="{C2FAC505-E34C-DA75-56B4-83542ECEAA71}"/>
              </a:ext>
            </a:extLst>
          </xdr:cNvPr>
          <xdr:cNvSpPr txBox="1"/>
        </xdr:nvSpPr>
        <xdr:spPr>
          <a:xfrm>
            <a:off x="7724775" y="1685925"/>
            <a:ext cx="1033463" cy="361950"/>
          </a:xfrm>
          <a:prstGeom prst="rect">
            <a:avLst/>
          </a:prstGeom>
          <a:solidFill>
            <a:srgbClr val="1A1A1A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6DE020B4-E384-42AC-B5C6-30A3DB262C2E}" type="TxLink">
              <a:rPr lang="en-US" sz="24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/>
              <a:t>63%</a:t>
            </a:fld>
            <a:endParaRPr lang="en-IN" sz="2400">
              <a:solidFill>
                <a:schemeClr val="bg1"/>
              </a:solidFill>
            </a:endParaRPr>
          </a:p>
        </xdr:txBody>
      </xdr:sp>
      <xdr:sp macro="" textlink="KPI!E4">
        <xdr:nvSpPr>
          <xdr:cNvPr id="70" name="TextBox 69">
            <a:extLst>
              <a:ext uri="{FF2B5EF4-FFF2-40B4-BE49-F238E27FC236}">
                <a16:creationId xmlns:a16="http://schemas.microsoft.com/office/drawing/2014/main" id="{5BBF5DAC-0130-4669-AD30-4EB10C7DEE0B}"/>
              </a:ext>
            </a:extLst>
          </xdr:cNvPr>
          <xdr:cNvSpPr txBox="1"/>
        </xdr:nvSpPr>
        <xdr:spPr>
          <a:xfrm>
            <a:off x="10494169" y="1676400"/>
            <a:ext cx="1035844" cy="361950"/>
          </a:xfrm>
          <a:prstGeom prst="rect">
            <a:avLst/>
          </a:prstGeom>
          <a:solidFill>
            <a:srgbClr val="1A1A1A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5B82404C-B38D-4221-B39A-90665C7E5DC7}" type="TxLink">
              <a:rPr lang="en-US" sz="24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marL="0" indent="0"/>
              <a:t>34%</a:t>
            </a:fld>
            <a:endParaRPr lang="en-IN" sz="2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endParaRPr>
          </a:p>
        </xdr:txBody>
      </xdr:sp>
      <xdr:grpSp>
        <xdr:nvGrpSpPr>
          <xdr:cNvPr id="71" name="Group 70">
            <a:extLst>
              <a:ext uri="{FF2B5EF4-FFF2-40B4-BE49-F238E27FC236}">
                <a16:creationId xmlns:a16="http://schemas.microsoft.com/office/drawing/2014/main" id="{79EFEDE6-6EA9-4424-9535-C52C548D78C7}"/>
              </a:ext>
            </a:extLst>
          </xdr:cNvPr>
          <xdr:cNvGrpSpPr/>
        </xdr:nvGrpSpPr>
        <xdr:grpSpPr>
          <a:xfrm>
            <a:off x="13415963" y="1647825"/>
            <a:ext cx="1285873" cy="638175"/>
            <a:chOff x="1895475" y="1695450"/>
            <a:chExt cx="1265737" cy="619125"/>
          </a:xfrm>
        </xdr:grpSpPr>
        <xdr:sp macro="" textlink="KPI!F4">
          <xdr:nvSpPr>
            <xdr:cNvPr id="72" name="TextBox 71">
              <a:extLst>
                <a:ext uri="{FF2B5EF4-FFF2-40B4-BE49-F238E27FC236}">
                  <a16:creationId xmlns:a16="http://schemas.microsoft.com/office/drawing/2014/main" id="{795AE82D-6834-10F6-27C8-D79D14EA0CA1}"/>
                </a:ext>
              </a:extLst>
            </xdr:cNvPr>
            <xdr:cNvSpPr txBox="1"/>
          </xdr:nvSpPr>
          <xdr:spPr>
            <a:xfrm>
              <a:off x="1905000" y="1695450"/>
              <a:ext cx="1256212" cy="361950"/>
            </a:xfrm>
            <a:prstGeom prst="rect">
              <a:avLst/>
            </a:prstGeom>
            <a:solidFill>
              <a:srgbClr val="1A1A1A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6D39B235-62B6-4FB0-9D90-0A65FC06F049}" type="TxLink">
                <a:rPr lang="en-US" sz="24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/>
                <a:t>$5,973 M</a:t>
              </a:fld>
              <a:endParaRPr lang="en-IN" sz="24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KPI!F5">
          <xdr:nvSpPr>
            <xdr:cNvPr id="73" name="TextBox 72">
              <a:extLst>
                <a:ext uri="{FF2B5EF4-FFF2-40B4-BE49-F238E27FC236}">
                  <a16:creationId xmlns:a16="http://schemas.microsoft.com/office/drawing/2014/main" id="{F8098895-23B6-5722-4AD4-A95451CEFC57}"/>
                </a:ext>
              </a:extLst>
            </xdr:cNvPr>
            <xdr:cNvSpPr txBox="1"/>
          </xdr:nvSpPr>
          <xdr:spPr>
            <a:xfrm>
              <a:off x="1895475" y="2076450"/>
              <a:ext cx="720328" cy="238125"/>
            </a:xfrm>
            <a:prstGeom prst="rect">
              <a:avLst/>
            </a:prstGeom>
            <a:solidFill>
              <a:srgbClr val="1A1A1A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r>
                <a:rPr lang="en-US" sz="1100" b="0" i="0" u="none" strike="noStrike">
                  <a:solidFill>
                    <a:srgbClr val="568424"/>
                  </a:solidFill>
                  <a:latin typeface="Calibri"/>
                  <a:ea typeface="Calibri"/>
                  <a:cs typeface="Calibri"/>
                </a:rPr>
                <a:t>+</a:t>
              </a:r>
              <a:fld id="{BE796246-4392-424C-9B8E-88CE7A499E9F}" type="TxLink">
                <a:rPr lang="en-US" sz="1100" b="0" i="0" u="none" strike="noStrike">
                  <a:solidFill>
                    <a:srgbClr val="568424"/>
                  </a:solidFill>
                  <a:latin typeface="Calibri"/>
                  <a:ea typeface="Calibri"/>
                  <a:cs typeface="Calibri"/>
                </a:rPr>
                <a:pPr marL="0" indent="0"/>
                <a:t>14%</a:t>
              </a:fld>
              <a:endParaRPr lang="en-IN" sz="2400" b="0" i="0" u="none" strike="noStrike">
                <a:solidFill>
                  <a:srgbClr val="568424"/>
                </a:solidFill>
                <a:latin typeface="Calibri"/>
                <a:ea typeface="Calibri"/>
                <a:cs typeface="Calibri"/>
              </a:endParaRPr>
            </a:p>
          </xdr:txBody>
        </xdr:sp>
      </xdr:grpSp>
      <xdr:graphicFrame macro="">
        <xdr:nvGraphicFramePr>
          <xdr:cNvPr id="148" name="Chart 147">
            <a:extLst>
              <a:ext uri="{FF2B5EF4-FFF2-40B4-BE49-F238E27FC236}">
                <a16:creationId xmlns:a16="http://schemas.microsoft.com/office/drawing/2014/main" id="{6ED9C6B1-415B-4CB5-B334-D210946B6161}"/>
              </a:ext>
            </a:extLst>
          </xdr:cNvPr>
          <xdr:cNvGraphicFramePr>
            <a:graphicFrameLocks/>
          </xdr:cNvGraphicFramePr>
        </xdr:nvGraphicFramePr>
        <xdr:xfrm>
          <a:off x="1774031" y="3214688"/>
          <a:ext cx="4571999" cy="19288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49" name="Chart 148">
            <a:extLst>
              <a:ext uri="{FF2B5EF4-FFF2-40B4-BE49-F238E27FC236}">
                <a16:creationId xmlns:a16="http://schemas.microsoft.com/office/drawing/2014/main" id="{5215251F-89D7-4229-86C8-7582E3BFEC11}"/>
              </a:ext>
            </a:extLst>
          </xdr:cNvPr>
          <xdr:cNvGraphicFramePr>
            <a:graphicFrameLocks/>
          </xdr:cNvGraphicFramePr>
        </xdr:nvGraphicFramePr>
        <xdr:xfrm>
          <a:off x="6596061" y="3226594"/>
          <a:ext cx="4500563" cy="19288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194" name="Chart 193">
            <a:extLst>
              <a:ext uri="{FF2B5EF4-FFF2-40B4-BE49-F238E27FC236}">
                <a16:creationId xmlns:a16="http://schemas.microsoft.com/office/drawing/2014/main" id="{62D58721-1BB5-44B4-A748-E8DE2699CD69}"/>
              </a:ext>
            </a:extLst>
          </xdr:cNvPr>
          <xdr:cNvGraphicFramePr>
            <a:graphicFrameLocks/>
          </xdr:cNvGraphicFramePr>
        </xdr:nvGraphicFramePr>
        <xdr:xfrm>
          <a:off x="11413332" y="3238500"/>
          <a:ext cx="4572000" cy="201215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252" name="Chart 251">
            <a:extLst>
              <a:ext uri="{FF2B5EF4-FFF2-40B4-BE49-F238E27FC236}">
                <a16:creationId xmlns:a16="http://schemas.microsoft.com/office/drawing/2014/main" id="{09547880-0574-43AF-A911-0020CABAC748}"/>
              </a:ext>
            </a:extLst>
          </xdr:cNvPr>
          <xdr:cNvGraphicFramePr>
            <a:graphicFrameLocks/>
          </xdr:cNvGraphicFramePr>
        </xdr:nvGraphicFramePr>
        <xdr:xfrm>
          <a:off x="1797844" y="5857875"/>
          <a:ext cx="3298031" cy="191690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254" name="Chart 253">
            <a:extLst>
              <a:ext uri="{FF2B5EF4-FFF2-40B4-BE49-F238E27FC236}">
                <a16:creationId xmlns:a16="http://schemas.microsoft.com/office/drawing/2014/main" id="{747F0416-AB70-487F-B502-BF5635C670DC}"/>
              </a:ext>
            </a:extLst>
          </xdr:cNvPr>
          <xdr:cNvGraphicFramePr>
            <a:graphicFrameLocks/>
          </xdr:cNvGraphicFramePr>
        </xdr:nvGraphicFramePr>
        <xdr:xfrm>
          <a:off x="5376863" y="5857875"/>
          <a:ext cx="3386137" cy="19288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255" name="Chart 254">
            <a:extLst>
              <a:ext uri="{FF2B5EF4-FFF2-40B4-BE49-F238E27FC236}">
                <a16:creationId xmlns:a16="http://schemas.microsoft.com/office/drawing/2014/main" id="{51081118-B700-4176-AEA6-5913AE5D663F}"/>
              </a:ext>
            </a:extLst>
          </xdr:cNvPr>
          <xdr:cNvGraphicFramePr>
            <a:graphicFrameLocks/>
          </xdr:cNvGraphicFramePr>
        </xdr:nvGraphicFramePr>
        <xdr:xfrm>
          <a:off x="8984457" y="5881688"/>
          <a:ext cx="3374230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aphicFrame macro="">
        <xdr:nvGraphicFramePr>
          <xdr:cNvPr id="256" name="Chart 255">
            <a:extLst>
              <a:ext uri="{FF2B5EF4-FFF2-40B4-BE49-F238E27FC236}">
                <a16:creationId xmlns:a16="http://schemas.microsoft.com/office/drawing/2014/main" id="{26E6145D-69F1-4DB5-9ABC-A193E8F89B19}"/>
              </a:ext>
            </a:extLst>
          </xdr:cNvPr>
          <xdr:cNvGraphicFramePr>
            <a:graphicFrameLocks/>
          </xdr:cNvGraphicFramePr>
        </xdr:nvGraphicFramePr>
        <xdr:xfrm>
          <a:off x="12584906" y="5857876"/>
          <a:ext cx="3393281" cy="19288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20</xdr:row>
      <xdr:rowOff>152400</xdr:rowOff>
    </xdr:from>
    <xdr:to>
      <xdr:col>0</xdr:col>
      <xdr:colOff>5124450</xdr:colOff>
      <xdr:row>35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56ED2B-407A-479A-997A-BBF33F394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157162</xdr:colOff>
      <xdr:row>5</xdr:row>
      <xdr:rowOff>71437</xdr:rowOff>
    </xdr:from>
    <xdr:to>
      <xdr:col>18</xdr:col>
      <xdr:colOff>461962</xdr:colOff>
      <xdr:row>19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584875-20F0-5690-63B7-35C52A7C5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66681</xdr:colOff>
      <xdr:row>20</xdr:row>
      <xdr:rowOff>52387</xdr:rowOff>
    </xdr:from>
    <xdr:to>
      <xdr:col>8</xdr:col>
      <xdr:colOff>409581</xdr:colOff>
      <xdr:row>34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567149-83E9-DB93-AF4B-BAC373234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647706</xdr:colOff>
      <xdr:row>20</xdr:row>
      <xdr:rowOff>90486</xdr:rowOff>
    </xdr:from>
    <xdr:to>
      <xdr:col>16</xdr:col>
      <xdr:colOff>57156</xdr:colOff>
      <xdr:row>41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45F2E9-2E80-66E1-599B-0591B16AE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590556</xdr:colOff>
      <xdr:row>1</xdr:row>
      <xdr:rowOff>4762</xdr:rowOff>
    </xdr:from>
    <xdr:to>
      <xdr:col>19</xdr:col>
      <xdr:colOff>285756</xdr:colOff>
      <xdr:row>15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F46E2F-2C86-F0CB-E062-F23E41EF1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104781</xdr:colOff>
      <xdr:row>20</xdr:row>
      <xdr:rowOff>90487</xdr:rowOff>
    </xdr:from>
    <xdr:to>
      <xdr:col>23</xdr:col>
      <xdr:colOff>409581</xdr:colOff>
      <xdr:row>34</xdr:row>
      <xdr:rowOff>166687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710A7B-6331-6ECB-43FA-494BA6765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247656</xdr:colOff>
      <xdr:row>2</xdr:row>
      <xdr:rowOff>80962</xdr:rowOff>
    </xdr:from>
    <xdr:to>
      <xdr:col>27</xdr:col>
      <xdr:colOff>552456</xdr:colOff>
      <xdr:row>16</xdr:row>
      <xdr:rowOff>157162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599283-A9DE-C34E-9B68-83DA6D6D7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simf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21DB-04A1-465B-A1A3-B5E553184BC5}">
  <dimension ref="B64:AK71"/>
  <sheetViews>
    <sheetView showGridLines="0" tabSelected="1" topLeftCell="A4" zoomScale="80" zoomScaleNormal="80" workbookViewId="0">
      <selection activeCell="AI54" sqref="AI54"/>
    </sheetView>
  </sheetViews>
  <sheetFormatPr defaultRowHeight="15" x14ac:dyDescent="0.25"/>
  <sheetData>
    <row r="64" spans="2:2" ht="33.75" x14ac:dyDescent="0.5">
      <c r="B64" s="19" t="s">
        <v>127</v>
      </c>
    </row>
    <row r="66" spans="2:37" ht="26.25" x14ac:dyDescent="0.4">
      <c r="B66" s="23" t="s">
        <v>128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0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1"/>
      <c r="AK66" s="21"/>
    </row>
    <row r="67" spans="2:37" ht="26.25" x14ac:dyDescent="0.4">
      <c r="B67" s="23" t="s">
        <v>129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0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1"/>
      <c r="AK67" s="21"/>
    </row>
    <row r="68" spans="2:37" ht="26.25" x14ac:dyDescent="0.4">
      <c r="B68" s="23" t="s">
        <v>130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0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1"/>
      <c r="AK68" s="21"/>
    </row>
    <row r="69" spans="2:37" ht="26.25" x14ac:dyDescent="0.4">
      <c r="B69" s="23" t="s">
        <v>131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0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1"/>
      <c r="AK69" s="21"/>
    </row>
    <row r="70" spans="2:37" ht="26.25" x14ac:dyDescent="0.4">
      <c r="B70" s="23" t="s">
        <v>132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0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1"/>
      <c r="AK70" s="21"/>
    </row>
    <row r="71" spans="2:37" ht="20.25" x14ac:dyDescent="0.3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5D3BD-B6A0-4D6E-BBE7-6650F8D1FF62}">
  <dimension ref="B3:F5"/>
  <sheetViews>
    <sheetView workbookViewId="0">
      <selection activeCell="F4" sqref="F4"/>
    </sheetView>
  </sheetViews>
  <sheetFormatPr defaultRowHeight="15" x14ac:dyDescent="0.25"/>
  <cols>
    <col min="2" max="2" width="15.5703125" bestFit="1" customWidth="1"/>
    <col min="3" max="3" width="11.28515625" bestFit="1" customWidth="1"/>
    <col min="4" max="4" width="16.85546875" bestFit="1" customWidth="1"/>
    <col min="6" max="6" width="16" bestFit="1" customWidth="1"/>
  </cols>
  <sheetData>
    <row r="3" spans="2:6" x14ac:dyDescent="0.25">
      <c r="B3" s="13" t="s">
        <v>123</v>
      </c>
      <c r="C3" s="13" t="s">
        <v>124</v>
      </c>
      <c r="D3" s="13" t="s">
        <v>125</v>
      </c>
      <c r="E3" s="13" t="s">
        <v>118</v>
      </c>
      <c r="F3" s="13" t="s">
        <v>126</v>
      </c>
    </row>
    <row r="4" spans="2:6" x14ac:dyDescent="0.25">
      <c r="B4" s="26">
        <f>'P&amp;L Clean'!K3</f>
        <v>31856</v>
      </c>
      <c r="C4" s="26">
        <f>'P&amp;L Clean'!K15</f>
        <v>6476</v>
      </c>
      <c r="D4" s="18">
        <f>Ratios!K2</f>
        <v>0.63052486187845302</v>
      </c>
      <c r="E4" s="18">
        <f>Ratios!K13</f>
        <v>0.33980480638052263</v>
      </c>
      <c r="F4" s="26">
        <f>Ratios!K15</f>
        <v>5973</v>
      </c>
    </row>
    <row r="5" spans="2:6" x14ac:dyDescent="0.25">
      <c r="B5" s="14">
        <f>('P&amp;L Clean'!K3-'P&amp;L Clean'!J3)/'P&amp;L Clean'!J3</f>
        <v>-0.10036712792996329</v>
      </c>
      <c r="C5" s="14">
        <f>('P&amp;L Clean'!K15-'P&amp;L Clean'!J15)/'P&amp;L Clean'!J15</f>
        <v>4.0475448168355417</v>
      </c>
      <c r="F5" s="14">
        <f>(Ratios!K15-Ratios!J15)/Ratios!J15</f>
        <v>0.13663177925784967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5FF2D-2D10-49DC-927F-7ECC11BF115F}">
  <dimension ref="A1:K19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4" sqref="J14"/>
    </sheetView>
  </sheetViews>
  <sheetFormatPr defaultRowHeight="15" x14ac:dyDescent="0.25"/>
  <cols>
    <col min="1" max="1" width="104.42578125" bestFit="1" customWidth="1"/>
  </cols>
  <sheetData>
    <row r="1" spans="1:11" x14ac:dyDescent="0.25">
      <c r="A1" s="6" t="s">
        <v>104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5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</row>
    <row r="3" spans="1:11" x14ac:dyDescent="0.25">
      <c r="A3" s="12" t="s">
        <v>13</v>
      </c>
      <c r="B3" s="8">
        <v>30990</v>
      </c>
      <c r="C3" s="8">
        <v>35119</v>
      </c>
      <c r="D3" s="8">
        <v>46542</v>
      </c>
      <c r="E3" s="8">
        <v>48017</v>
      </c>
      <c r="F3" s="8">
        <v>46854</v>
      </c>
      <c r="G3" s="8">
        <v>45998</v>
      </c>
      <c r="H3" s="8">
        <v>44294</v>
      </c>
      <c r="I3" s="8">
        <v>41863</v>
      </c>
      <c r="J3" s="8">
        <v>35410</v>
      </c>
      <c r="K3" s="8">
        <v>31856</v>
      </c>
    </row>
    <row r="4" spans="1:11" x14ac:dyDescent="0.25">
      <c r="A4" s="6" t="s">
        <v>14</v>
      </c>
      <c r="B4" s="8">
        <v>11088</v>
      </c>
      <c r="C4" s="8">
        <v>12693</v>
      </c>
      <c r="D4" s="8">
        <v>18215</v>
      </c>
      <c r="E4" s="8">
        <v>19053</v>
      </c>
      <c r="F4" s="8">
        <v>18421</v>
      </c>
      <c r="G4" s="8">
        <v>17889</v>
      </c>
      <c r="H4" s="8">
        <v>17482</v>
      </c>
      <c r="I4" s="8">
        <v>16465</v>
      </c>
      <c r="J4" s="8">
        <v>13255</v>
      </c>
      <c r="K4" s="8">
        <v>11770</v>
      </c>
    </row>
    <row r="5" spans="1:11" x14ac:dyDescent="0.25">
      <c r="A5" s="9" t="s">
        <v>105</v>
      </c>
      <c r="B5" s="10">
        <v>19902</v>
      </c>
      <c r="C5" s="10">
        <v>22426</v>
      </c>
      <c r="D5" s="10">
        <v>28327</v>
      </c>
      <c r="E5" s="10">
        <v>28964</v>
      </c>
      <c r="F5" s="10">
        <v>28433</v>
      </c>
      <c r="G5" s="10">
        <v>28109</v>
      </c>
      <c r="H5" s="10">
        <v>26812</v>
      </c>
      <c r="I5" s="10">
        <v>25398</v>
      </c>
      <c r="J5" s="10">
        <v>22155</v>
      </c>
      <c r="K5" s="10">
        <v>20086</v>
      </c>
    </row>
    <row r="6" spans="1:11" x14ac:dyDescent="0.25">
      <c r="A6" s="6" t="s">
        <v>16</v>
      </c>
      <c r="B6" s="8">
        <v>11358</v>
      </c>
      <c r="C6" s="8">
        <v>13194</v>
      </c>
      <c r="D6" s="8">
        <v>17422</v>
      </c>
      <c r="E6" s="8">
        <v>17738</v>
      </c>
      <c r="F6" s="8">
        <v>17310</v>
      </c>
      <c r="G6" s="8">
        <v>17218</v>
      </c>
      <c r="H6" s="8">
        <v>16427</v>
      </c>
      <c r="I6" s="8">
        <v>15262</v>
      </c>
      <c r="J6" s="8">
        <v>12654</v>
      </c>
      <c r="K6" s="8">
        <v>10307</v>
      </c>
    </row>
    <row r="7" spans="1:11" x14ac:dyDescent="0.25">
      <c r="A7" s="6" t="s">
        <v>17</v>
      </c>
      <c r="B7" s="8">
        <v>313</v>
      </c>
      <c r="C7" s="8">
        <v>819</v>
      </c>
      <c r="D7" s="8">
        <v>732</v>
      </c>
      <c r="E7" s="8">
        <v>447</v>
      </c>
      <c r="F7" s="8">
        <v>895</v>
      </c>
      <c r="G7" s="8">
        <v>1183</v>
      </c>
      <c r="H7" s="8">
        <v>1657</v>
      </c>
      <c r="I7" s="8">
        <v>1510</v>
      </c>
      <c r="J7" s="8">
        <v>1902</v>
      </c>
      <c r="K7" s="8">
        <v>1079</v>
      </c>
    </row>
    <row r="8" spans="1:11" x14ac:dyDescent="0.25">
      <c r="A8" s="9" t="s">
        <v>106</v>
      </c>
      <c r="B8" s="10">
        <v>8231</v>
      </c>
      <c r="C8" s="10">
        <v>8413</v>
      </c>
      <c r="D8" s="10">
        <v>10173</v>
      </c>
      <c r="E8" s="10">
        <v>10779</v>
      </c>
      <c r="F8" s="10">
        <v>10228</v>
      </c>
      <c r="G8" s="10">
        <v>9708</v>
      </c>
      <c r="H8" s="10">
        <v>8728</v>
      </c>
      <c r="I8" s="10">
        <v>8626</v>
      </c>
      <c r="J8" s="10">
        <v>7599</v>
      </c>
      <c r="K8" s="10">
        <v>8700</v>
      </c>
    </row>
    <row r="9" spans="1:11" x14ac:dyDescent="0.25">
      <c r="A9" s="6" t="s">
        <v>19</v>
      </c>
      <c r="B9" s="8">
        <v>249</v>
      </c>
      <c r="C9" s="8">
        <v>317</v>
      </c>
      <c r="D9" s="8">
        <v>483</v>
      </c>
      <c r="E9" s="8">
        <v>471</v>
      </c>
      <c r="F9" s="8">
        <v>534</v>
      </c>
      <c r="G9" s="8">
        <v>594</v>
      </c>
      <c r="H9" s="8">
        <v>613</v>
      </c>
      <c r="I9" s="8">
        <v>642</v>
      </c>
      <c r="J9" s="8">
        <v>677</v>
      </c>
      <c r="K9" s="8">
        <v>682</v>
      </c>
    </row>
    <row r="10" spans="1:11" x14ac:dyDescent="0.25">
      <c r="A10" s="6" t="s">
        <v>20</v>
      </c>
      <c r="B10" s="8">
        <v>355</v>
      </c>
      <c r="C10" s="8">
        <v>733</v>
      </c>
      <c r="D10" s="8">
        <v>417</v>
      </c>
      <c r="E10" s="8">
        <v>397</v>
      </c>
      <c r="F10" s="8">
        <v>463</v>
      </c>
      <c r="G10" s="8">
        <v>483</v>
      </c>
      <c r="H10" s="8">
        <v>856</v>
      </c>
      <c r="I10" s="8">
        <v>733</v>
      </c>
      <c r="J10" s="8">
        <v>841</v>
      </c>
      <c r="K10" s="8">
        <v>919</v>
      </c>
    </row>
    <row r="11" spans="1:11" x14ac:dyDescent="0.25">
      <c r="A11" s="6" t="s">
        <v>21</v>
      </c>
      <c r="B11" s="8">
        <v>781</v>
      </c>
      <c r="C11" s="8">
        <v>1025</v>
      </c>
      <c r="D11" s="8">
        <v>690</v>
      </c>
      <c r="E11" s="8">
        <v>819</v>
      </c>
      <c r="F11" s="8">
        <v>602</v>
      </c>
      <c r="G11" s="8">
        <v>769</v>
      </c>
      <c r="H11" s="8">
        <v>489</v>
      </c>
      <c r="I11" s="8">
        <v>835</v>
      </c>
      <c r="J11" s="8">
        <v>1071</v>
      </c>
      <c r="K11" s="8">
        <v>1008</v>
      </c>
    </row>
    <row r="12" spans="1:11" x14ac:dyDescent="0.25">
      <c r="A12" s="6" t="s">
        <v>22</v>
      </c>
      <c r="B12" s="8">
        <v>40</v>
      </c>
      <c r="C12" s="8">
        <v>5185</v>
      </c>
      <c r="D12" s="8">
        <v>529</v>
      </c>
      <c r="E12" s="8">
        <v>137</v>
      </c>
      <c r="F12" s="8">
        <v>576</v>
      </c>
      <c r="G12" s="8">
        <v>-1263</v>
      </c>
      <c r="H12" s="8">
        <v>631</v>
      </c>
      <c r="I12" s="8">
        <v>-1234</v>
      </c>
      <c r="J12" s="8">
        <v>-1764</v>
      </c>
      <c r="K12" s="8">
        <v>-1121</v>
      </c>
    </row>
    <row r="13" spans="1:11" x14ac:dyDescent="0.25">
      <c r="A13" s="9" t="s">
        <v>107</v>
      </c>
      <c r="B13" s="10">
        <v>8946</v>
      </c>
      <c r="C13" s="10">
        <v>14207</v>
      </c>
      <c r="D13" s="10">
        <v>11458</v>
      </c>
      <c r="E13" s="10">
        <v>11809</v>
      </c>
      <c r="F13" s="10">
        <v>11477</v>
      </c>
      <c r="G13" s="10">
        <v>9325</v>
      </c>
      <c r="H13" s="10">
        <v>9605</v>
      </c>
      <c r="I13" s="10">
        <v>8136</v>
      </c>
      <c r="J13" s="10">
        <v>6742</v>
      </c>
      <c r="K13" s="10">
        <v>8350</v>
      </c>
    </row>
    <row r="14" spans="1:11" x14ac:dyDescent="0.25">
      <c r="A14" s="6" t="s">
        <v>24</v>
      </c>
      <c r="B14" s="8">
        <v>2040</v>
      </c>
      <c r="C14" s="8">
        <v>2370</v>
      </c>
      <c r="D14" s="8">
        <v>2812</v>
      </c>
      <c r="E14" s="8">
        <v>2723</v>
      </c>
      <c r="F14" s="8">
        <v>2851</v>
      </c>
      <c r="G14" s="8">
        <v>2201</v>
      </c>
      <c r="H14" s="8">
        <v>2239</v>
      </c>
      <c r="I14" s="8">
        <v>1586</v>
      </c>
      <c r="J14" s="8">
        <v>5560</v>
      </c>
      <c r="K14" s="8">
        <v>1623</v>
      </c>
    </row>
    <row r="15" spans="1:11" x14ac:dyDescent="0.25">
      <c r="A15" s="9" t="s">
        <v>25</v>
      </c>
      <c r="B15" s="10">
        <v>6906</v>
      </c>
      <c r="C15" s="10">
        <v>11837</v>
      </c>
      <c r="D15" s="10">
        <v>8646</v>
      </c>
      <c r="E15" s="10">
        <v>9086</v>
      </c>
      <c r="F15" s="10">
        <v>8626</v>
      </c>
      <c r="G15" s="10">
        <v>7124</v>
      </c>
      <c r="H15" s="10">
        <v>7366</v>
      </c>
      <c r="I15" s="10">
        <v>6550</v>
      </c>
      <c r="J15" s="10">
        <v>1283</v>
      </c>
      <c r="K15" s="10">
        <v>6476</v>
      </c>
    </row>
    <row r="16" spans="1:11" x14ac:dyDescent="0.25">
      <c r="A16" s="6" t="s">
        <v>26</v>
      </c>
      <c r="B16" s="8">
        <v>82</v>
      </c>
      <c r="C16" s="8">
        <v>50</v>
      </c>
      <c r="D16" s="8">
        <v>62</v>
      </c>
      <c r="E16" s="8">
        <v>67</v>
      </c>
      <c r="F16" s="8">
        <v>42</v>
      </c>
      <c r="G16" s="8">
        <v>26</v>
      </c>
      <c r="H16" s="8">
        <v>15</v>
      </c>
      <c r="I16" s="8">
        <v>23</v>
      </c>
      <c r="J16" s="8">
        <v>35</v>
      </c>
      <c r="K16" s="8">
        <v>42</v>
      </c>
    </row>
    <row r="17" spans="1:11" x14ac:dyDescent="0.25">
      <c r="A17" s="6" t="s">
        <v>27</v>
      </c>
      <c r="B17" s="8">
        <v>6906</v>
      </c>
      <c r="C17" s="8">
        <v>11837</v>
      </c>
      <c r="D17" s="8">
        <v>8646</v>
      </c>
      <c r="E17" s="8">
        <v>9086</v>
      </c>
      <c r="F17" s="8">
        <v>8626</v>
      </c>
      <c r="G17" s="8">
        <v>7124</v>
      </c>
      <c r="H17" s="8">
        <v>7366</v>
      </c>
      <c r="I17" s="8">
        <v>6550</v>
      </c>
      <c r="J17" s="8">
        <v>1182</v>
      </c>
      <c r="K17" s="8">
        <v>6727</v>
      </c>
    </row>
    <row r="18" spans="1:11" x14ac:dyDescent="0.25">
      <c r="A18" s="6" t="s">
        <v>28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101</v>
      </c>
      <c r="K18" s="8">
        <v>-251</v>
      </c>
    </row>
    <row r="19" spans="1:11" x14ac:dyDescent="0.25">
      <c r="A19" s="9" t="s">
        <v>29</v>
      </c>
      <c r="B19" s="10">
        <v>6824</v>
      </c>
      <c r="C19" s="10">
        <v>11787</v>
      </c>
      <c r="D19" s="10">
        <v>8584</v>
      </c>
      <c r="E19" s="10">
        <v>9019</v>
      </c>
      <c r="F19" s="10">
        <v>8584</v>
      </c>
      <c r="G19" s="10">
        <v>7098</v>
      </c>
      <c r="H19" s="10">
        <v>7351</v>
      </c>
      <c r="I19" s="10">
        <v>6527</v>
      </c>
      <c r="J19" s="10">
        <v>1248</v>
      </c>
      <c r="K19" s="10">
        <v>6434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76AA0-54CD-4EC4-90C9-B14792FF538E}">
  <dimension ref="A2:K41"/>
  <sheetViews>
    <sheetView showGridLines="0" zoomScaleNormal="100" workbookViewId="0">
      <pane xSplit="10" ySplit="1" topLeftCell="K2" activePane="bottomRight" state="frozen"/>
      <selection pane="topRight" activeCell="K1" sqref="K1"/>
      <selection pane="bottomLeft" activeCell="A2" sqref="A2"/>
      <selection pane="bottomRight" activeCell="S26" sqref="S26"/>
    </sheetView>
  </sheetViews>
  <sheetFormatPr defaultRowHeight="15" x14ac:dyDescent="0.25"/>
  <cols>
    <col min="1" max="1" width="67.140625" bestFit="1" customWidth="1"/>
  </cols>
  <sheetData>
    <row r="2" spans="1:11" x14ac:dyDescent="0.25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</row>
    <row r="3" spans="1:11" x14ac:dyDescent="0.25">
      <c r="A3" s="6" t="s">
        <v>32</v>
      </c>
      <c r="B3" s="11">
        <v>7021</v>
      </c>
      <c r="C3" s="11">
        <v>8517</v>
      </c>
      <c r="D3" s="11">
        <v>12803</v>
      </c>
      <c r="E3" s="11">
        <v>8442</v>
      </c>
      <c r="F3" s="11">
        <v>10414</v>
      </c>
      <c r="G3" s="11">
        <v>8958</v>
      </c>
      <c r="H3" s="11">
        <v>7309</v>
      </c>
      <c r="I3" s="11">
        <v>8555</v>
      </c>
      <c r="J3" s="11">
        <v>6006</v>
      </c>
      <c r="K3" s="11">
        <v>8926</v>
      </c>
    </row>
    <row r="4" spans="1:11" x14ac:dyDescent="0.25">
      <c r="A4" s="6" t="s">
        <v>33</v>
      </c>
      <c r="B4" s="8">
        <v>2130</v>
      </c>
      <c r="C4" s="8">
        <v>2682</v>
      </c>
      <c r="D4" s="8">
        <v>1088</v>
      </c>
      <c r="E4" s="8">
        <v>5017</v>
      </c>
      <c r="F4" s="8">
        <v>6707</v>
      </c>
      <c r="G4" s="8">
        <v>9052</v>
      </c>
      <c r="H4" s="8">
        <v>8322</v>
      </c>
      <c r="I4" s="8">
        <v>9595</v>
      </c>
      <c r="J4" s="8">
        <v>9352</v>
      </c>
      <c r="K4" s="8">
        <v>2025</v>
      </c>
    </row>
    <row r="5" spans="1:11" x14ac:dyDescent="0.25">
      <c r="A5" s="9" t="s">
        <v>34</v>
      </c>
      <c r="B5" s="10">
        <v>9151</v>
      </c>
      <c r="C5" s="10">
        <v>11199</v>
      </c>
      <c r="D5" s="10">
        <v>13891</v>
      </c>
      <c r="E5" s="10">
        <v>13459</v>
      </c>
      <c r="F5" s="10">
        <v>17121</v>
      </c>
      <c r="G5" s="10">
        <v>18010</v>
      </c>
      <c r="H5" s="10">
        <v>15631</v>
      </c>
      <c r="I5" s="10">
        <v>18150</v>
      </c>
      <c r="J5" s="10">
        <v>15358</v>
      </c>
      <c r="K5" s="10">
        <v>10951</v>
      </c>
    </row>
    <row r="6" spans="1:11" x14ac:dyDescent="0.25">
      <c r="A6" s="6" t="s">
        <v>35</v>
      </c>
      <c r="B6" s="8">
        <v>62</v>
      </c>
      <c r="C6" s="8">
        <v>138</v>
      </c>
      <c r="D6" s="8">
        <v>144</v>
      </c>
      <c r="E6" s="8">
        <v>3092</v>
      </c>
      <c r="F6" s="8">
        <v>3147</v>
      </c>
      <c r="G6" s="8">
        <v>3665</v>
      </c>
      <c r="H6" s="8">
        <v>4269</v>
      </c>
      <c r="I6" s="8">
        <v>4051</v>
      </c>
      <c r="J6" s="8">
        <v>5317</v>
      </c>
      <c r="K6" s="8">
        <v>5013</v>
      </c>
    </row>
    <row r="7" spans="1:11" x14ac:dyDescent="0.25">
      <c r="A7" s="6" t="s">
        <v>36</v>
      </c>
      <c r="B7" s="8">
        <v>3758</v>
      </c>
      <c r="C7" s="8">
        <v>4430</v>
      </c>
      <c r="D7" s="8">
        <v>4920</v>
      </c>
      <c r="E7" s="8">
        <v>4759</v>
      </c>
      <c r="F7" s="8">
        <v>4873</v>
      </c>
      <c r="G7" s="8">
        <v>4466</v>
      </c>
      <c r="H7" s="8">
        <v>3941</v>
      </c>
      <c r="I7" s="8">
        <v>3856</v>
      </c>
      <c r="J7" s="8">
        <v>3667</v>
      </c>
      <c r="K7" s="8">
        <v>3396</v>
      </c>
    </row>
    <row r="8" spans="1:11" x14ac:dyDescent="0.25">
      <c r="A8" s="6" t="s">
        <v>37</v>
      </c>
      <c r="B8" s="8">
        <v>2354</v>
      </c>
      <c r="C8" s="8">
        <v>2650</v>
      </c>
      <c r="D8" s="8">
        <v>3092</v>
      </c>
      <c r="E8" s="8">
        <v>3264</v>
      </c>
      <c r="F8" s="8">
        <v>3277</v>
      </c>
      <c r="G8" s="8">
        <v>3100</v>
      </c>
      <c r="H8" s="8">
        <v>2902</v>
      </c>
      <c r="I8" s="8">
        <v>2675</v>
      </c>
      <c r="J8" s="8">
        <v>2655</v>
      </c>
      <c r="K8" s="8">
        <v>2766</v>
      </c>
    </row>
    <row r="9" spans="1:11" x14ac:dyDescent="0.25">
      <c r="A9" s="6" t="s">
        <v>38</v>
      </c>
      <c r="B9" s="8">
        <v>2226</v>
      </c>
      <c r="C9" s="8">
        <v>3162</v>
      </c>
      <c r="D9" s="8">
        <v>3450</v>
      </c>
      <c r="E9" s="8">
        <v>2781</v>
      </c>
      <c r="F9" s="8">
        <v>2886</v>
      </c>
      <c r="G9" s="8">
        <v>3066</v>
      </c>
      <c r="H9" s="8">
        <v>2752</v>
      </c>
      <c r="I9" s="8">
        <v>2481</v>
      </c>
      <c r="J9" s="8">
        <v>2000</v>
      </c>
      <c r="K9" s="8">
        <v>1962</v>
      </c>
    </row>
    <row r="10" spans="1:11" x14ac:dyDescent="0.25">
      <c r="A10" s="6" t="s">
        <v>39</v>
      </c>
      <c r="B10" s="8">
        <v>0</v>
      </c>
      <c r="C10" s="8">
        <v>0</v>
      </c>
      <c r="D10" s="8">
        <v>0</v>
      </c>
      <c r="E10" s="8">
        <v>2973</v>
      </c>
      <c r="F10" s="8">
        <v>0</v>
      </c>
      <c r="G10" s="8">
        <v>679</v>
      </c>
      <c r="H10" s="8">
        <v>3900</v>
      </c>
      <c r="I10" s="8">
        <v>0</v>
      </c>
      <c r="J10" s="8">
        <v>7329</v>
      </c>
      <c r="K10" s="8">
        <v>6546</v>
      </c>
    </row>
    <row r="11" spans="1:11" x14ac:dyDescent="0.25">
      <c r="A11" s="6" t="s">
        <v>39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2797</v>
      </c>
      <c r="J11" s="8">
        <v>219</v>
      </c>
      <c r="K11" s="8">
        <v>0</v>
      </c>
    </row>
    <row r="12" spans="1:11" x14ac:dyDescent="0.25">
      <c r="A12" s="9" t="s">
        <v>40</v>
      </c>
      <c r="B12" s="10">
        <v>17551</v>
      </c>
      <c r="C12" s="10">
        <v>21579</v>
      </c>
      <c r="D12" s="10">
        <v>25497</v>
      </c>
      <c r="E12" s="10">
        <v>30328</v>
      </c>
      <c r="F12" s="10">
        <v>31304</v>
      </c>
      <c r="G12" s="10">
        <v>32986</v>
      </c>
      <c r="H12" s="10">
        <v>33395</v>
      </c>
      <c r="I12" s="10">
        <v>34010</v>
      </c>
      <c r="J12" s="10">
        <v>36545</v>
      </c>
      <c r="K12" s="10">
        <v>30634</v>
      </c>
    </row>
    <row r="13" spans="1:11" x14ac:dyDescent="0.25">
      <c r="A13" s="6" t="s">
        <v>41</v>
      </c>
      <c r="B13" s="8">
        <v>6217</v>
      </c>
      <c r="C13" s="8">
        <v>6954</v>
      </c>
      <c r="D13" s="8">
        <v>7233</v>
      </c>
      <c r="E13" s="8">
        <v>9216</v>
      </c>
      <c r="F13" s="8">
        <v>10393</v>
      </c>
      <c r="G13" s="8">
        <v>9947</v>
      </c>
      <c r="H13" s="8">
        <v>12318</v>
      </c>
      <c r="I13" s="8">
        <v>16260</v>
      </c>
      <c r="J13" s="8">
        <v>20856</v>
      </c>
      <c r="K13" s="8">
        <v>19407</v>
      </c>
    </row>
    <row r="14" spans="1:11" x14ac:dyDescent="0.25">
      <c r="A14" s="6" t="s">
        <v>42</v>
      </c>
      <c r="B14" s="8">
        <v>538</v>
      </c>
      <c r="C14" s="8">
        <v>631</v>
      </c>
      <c r="D14" s="8">
        <v>1141</v>
      </c>
      <c r="E14" s="8">
        <v>1232</v>
      </c>
      <c r="F14" s="8">
        <v>1119</v>
      </c>
      <c r="G14" s="8">
        <v>3678</v>
      </c>
      <c r="H14" s="8">
        <v>3470</v>
      </c>
      <c r="I14" s="8">
        <v>989</v>
      </c>
      <c r="J14" s="8">
        <v>1096</v>
      </c>
      <c r="K14" s="8">
        <v>867</v>
      </c>
    </row>
    <row r="15" spans="1:11" x14ac:dyDescent="0.25">
      <c r="A15" s="6" t="s">
        <v>43</v>
      </c>
      <c r="B15" s="8">
        <v>1976</v>
      </c>
      <c r="C15" s="8">
        <v>2121</v>
      </c>
      <c r="D15" s="8">
        <v>3495</v>
      </c>
      <c r="E15" s="8">
        <v>3585</v>
      </c>
      <c r="F15" s="8">
        <v>4661</v>
      </c>
      <c r="G15" s="8">
        <v>4407</v>
      </c>
      <c r="H15" s="8">
        <v>4110</v>
      </c>
      <c r="I15" s="8">
        <v>4248</v>
      </c>
      <c r="J15" s="8">
        <v>4230</v>
      </c>
      <c r="K15" s="8">
        <v>4139</v>
      </c>
    </row>
    <row r="16" spans="1:11" x14ac:dyDescent="0.25">
      <c r="A16" s="6" t="s">
        <v>44</v>
      </c>
      <c r="B16" s="8">
        <v>9561</v>
      </c>
      <c r="C16" s="8">
        <v>14727</v>
      </c>
      <c r="D16" s="8">
        <v>14939</v>
      </c>
      <c r="E16" s="8">
        <v>14476</v>
      </c>
      <c r="F16" s="8">
        <v>14967</v>
      </c>
      <c r="G16" s="8">
        <v>14633</v>
      </c>
      <c r="H16" s="8">
        <v>12571</v>
      </c>
      <c r="I16" s="8">
        <v>10635</v>
      </c>
      <c r="J16" s="8">
        <v>8203</v>
      </c>
      <c r="K16" s="8">
        <v>8232</v>
      </c>
    </row>
    <row r="17" spans="1:11" x14ac:dyDescent="0.25">
      <c r="A17" s="6" t="s">
        <v>45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330</v>
      </c>
      <c r="K17" s="8">
        <v>2667</v>
      </c>
    </row>
    <row r="18" spans="1:11" x14ac:dyDescent="0.25">
      <c r="A18" s="6" t="s">
        <v>46</v>
      </c>
      <c r="B18" s="8">
        <v>6183</v>
      </c>
      <c r="C18" s="8">
        <v>6356</v>
      </c>
      <c r="D18" s="8">
        <v>6430</v>
      </c>
      <c r="E18" s="8">
        <v>6527</v>
      </c>
      <c r="F18" s="8">
        <v>6744</v>
      </c>
      <c r="G18" s="8">
        <v>6533</v>
      </c>
      <c r="H18" s="8">
        <v>5989</v>
      </c>
      <c r="I18" s="8">
        <v>6097</v>
      </c>
      <c r="J18" s="8">
        <v>6729</v>
      </c>
      <c r="K18" s="8">
        <v>6682</v>
      </c>
    </row>
    <row r="19" spans="1:11" x14ac:dyDescent="0.25">
      <c r="A19" s="6" t="s">
        <v>47</v>
      </c>
      <c r="B19" s="8">
        <v>1953</v>
      </c>
      <c r="C19" s="8">
        <v>7511</v>
      </c>
      <c r="D19" s="8">
        <v>7770</v>
      </c>
      <c r="E19" s="8">
        <v>7405</v>
      </c>
      <c r="F19" s="8">
        <v>7415</v>
      </c>
      <c r="G19" s="8">
        <v>6689</v>
      </c>
      <c r="H19" s="8">
        <v>6000</v>
      </c>
      <c r="I19" s="8">
        <v>3676</v>
      </c>
      <c r="J19" s="8">
        <v>138</v>
      </c>
      <c r="K19" s="8">
        <v>51</v>
      </c>
    </row>
    <row r="20" spans="1:11" x14ac:dyDescent="0.25">
      <c r="A20" s="6" t="s">
        <v>48</v>
      </c>
      <c r="B20" s="8">
        <v>4224</v>
      </c>
      <c r="C20" s="8">
        <v>11665</v>
      </c>
      <c r="D20" s="8">
        <v>12219</v>
      </c>
      <c r="E20" s="8">
        <v>12255</v>
      </c>
      <c r="F20" s="8">
        <v>12312</v>
      </c>
      <c r="G20" s="8">
        <v>12100</v>
      </c>
      <c r="H20" s="8">
        <v>11289</v>
      </c>
      <c r="I20" s="8">
        <v>10629</v>
      </c>
      <c r="J20" s="8">
        <v>9401</v>
      </c>
      <c r="K20" s="8">
        <v>10263</v>
      </c>
    </row>
    <row r="21" spans="1:11" x14ac:dyDescent="0.25">
      <c r="A21" s="6" t="s">
        <v>49</v>
      </c>
      <c r="B21" s="8">
        <v>468</v>
      </c>
      <c r="C21" s="8">
        <v>1377</v>
      </c>
      <c r="D21" s="8">
        <v>1250</v>
      </c>
      <c r="E21" s="8">
        <v>1150</v>
      </c>
      <c r="F21" s="8">
        <v>1140</v>
      </c>
      <c r="G21" s="8">
        <v>1050</v>
      </c>
      <c r="H21" s="8">
        <v>854</v>
      </c>
      <c r="I21" s="8">
        <v>726</v>
      </c>
      <c r="J21" s="8">
        <v>368</v>
      </c>
      <c r="K21" s="8">
        <v>274</v>
      </c>
    </row>
    <row r="22" spans="1:11" x14ac:dyDescent="0.25">
      <c r="A22" s="9" t="s">
        <v>50</v>
      </c>
      <c r="B22" s="10">
        <v>48671</v>
      </c>
      <c r="C22" s="10">
        <v>72921</v>
      </c>
      <c r="D22" s="10">
        <v>79974</v>
      </c>
      <c r="E22" s="10">
        <v>86174</v>
      </c>
      <c r="F22" s="10">
        <v>90055</v>
      </c>
      <c r="G22" s="10">
        <v>92023</v>
      </c>
      <c r="H22" s="10">
        <v>89996</v>
      </c>
      <c r="I22" s="10">
        <v>87270</v>
      </c>
      <c r="J22" s="10">
        <v>87896</v>
      </c>
      <c r="K22" s="10">
        <v>83216</v>
      </c>
    </row>
    <row r="23" spans="1:11" x14ac:dyDescent="0.25">
      <c r="A23" s="6" t="s">
        <v>52</v>
      </c>
      <c r="B23" s="8">
        <v>6657</v>
      </c>
      <c r="C23" s="8">
        <v>8859</v>
      </c>
      <c r="D23" s="8">
        <v>9009</v>
      </c>
      <c r="E23" s="8">
        <v>8680</v>
      </c>
      <c r="F23" s="8">
        <v>9577</v>
      </c>
      <c r="G23" s="8">
        <v>9234</v>
      </c>
      <c r="H23" s="8">
        <v>9660</v>
      </c>
      <c r="I23" s="8">
        <v>9490</v>
      </c>
      <c r="J23" s="8">
        <v>8748</v>
      </c>
      <c r="K23" s="8">
        <v>8932</v>
      </c>
    </row>
    <row r="24" spans="1:11" x14ac:dyDescent="0.25">
      <c r="A24" s="6" t="s">
        <v>53</v>
      </c>
      <c r="B24" s="8">
        <v>6749</v>
      </c>
      <c r="C24" s="8">
        <v>8100</v>
      </c>
      <c r="D24" s="8">
        <v>12871</v>
      </c>
      <c r="E24" s="8">
        <v>16297</v>
      </c>
      <c r="F24" s="8">
        <v>16901</v>
      </c>
      <c r="G24" s="8">
        <v>19130</v>
      </c>
      <c r="H24" s="8">
        <v>13129</v>
      </c>
      <c r="I24" s="8">
        <v>12498</v>
      </c>
      <c r="J24" s="8">
        <v>13205</v>
      </c>
      <c r="K24" s="8">
        <v>13194</v>
      </c>
    </row>
    <row r="25" spans="1:11" x14ac:dyDescent="0.25">
      <c r="A25" s="6" t="s">
        <v>54</v>
      </c>
      <c r="B25" s="8">
        <v>51</v>
      </c>
      <c r="C25" s="8">
        <v>1276</v>
      </c>
      <c r="D25" s="8">
        <v>2041</v>
      </c>
      <c r="E25" s="8">
        <v>1577</v>
      </c>
      <c r="F25" s="8">
        <v>1024</v>
      </c>
      <c r="G25" s="8">
        <v>3552</v>
      </c>
      <c r="H25" s="8">
        <v>2676</v>
      </c>
      <c r="I25" s="8">
        <v>3527</v>
      </c>
      <c r="J25" s="8">
        <v>3298</v>
      </c>
      <c r="K25" s="8">
        <v>4997</v>
      </c>
    </row>
    <row r="26" spans="1:11" x14ac:dyDescent="0.25">
      <c r="A26" s="6" t="s">
        <v>55</v>
      </c>
      <c r="B26" s="8">
        <v>264</v>
      </c>
      <c r="C26" s="8">
        <v>273</v>
      </c>
      <c r="D26" s="8">
        <v>362</v>
      </c>
      <c r="E26" s="8">
        <v>471</v>
      </c>
      <c r="F26" s="8">
        <v>309</v>
      </c>
      <c r="G26" s="8">
        <v>400</v>
      </c>
      <c r="H26" s="8">
        <v>331</v>
      </c>
      <c r="I26" s="8">
        <v>307</v>
      </c>
      <c r="J26" s="8">
        <v>410</v>
      </c>
      <c r="K26" s="8">
        <v>378</v>
      </c>
    </row>
    <row r="27" spans="1:11" x14ac:dyDescent="0.25">
      <c r="A27" s="6" t="s">
        <v>56</v>
      </c>
      <c r="B27" s="8">
        <v>0</v>
      </c>
      <c r="C27" s="8">
        <v>0</v>
      </c>
      <c r="D27" s="8">
        <v>0</v>
      </c>
      <c r="E27" s="8">
        <v>796</v>
      </c>
      <c r="F27" s="8">
        <v>0</v>
      </c>
      <c r="G27" s="8">
        <v>58</v>
      </c>
      <c r="H27" s="8">
        <v>1133</v>
      </c>
      <c r="I27" s="8">
        <v>710</v>
      </c>
      <c r="J27" s="8">
        <v>37</v>
      </c>
      <c r="K27" s="8">
        <v>0</v>
      </c>
    </row>
    <row r="28" spans="1:11" x14ac:dyDescent="0.25">
      <c r="A28" s="6" t="s">
        <v>57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1496</v>
      </c>
      <c r="K28" s="8">
        <v>1722</v>
      </c>
    </row>
    <row r="29" spans="1:11" x14ac:dyDescent="0.25">
      <c r="A29" s="9" t="s">
        <v>58</v>
      </c>
      <c r="B29" s="10">
        <v>13721</v>
      </c>
      <c r="C29" s="10">
        <v>18508</v>
      </c>
      <c r="D29" s="10">
        <v>24283</v>
      </c>
      <c r="E29" s="10">
        <v>27821</v>
      </c>
      <c r="F29" s="10">
        <v>27811</v>
      </c>
      <c r="G29" s="10">
        <v>32374</v>
      </c>
      <c r="H29" s="10">
        <v>26929</v>
      </c>
      <c r="I29" s="10">
        <v>26532</v>
      </c>
      <c r="J29" s="10">
        <v>27194</v>
      </c>
      <c r="K29" s="10">
        <v>29223</v>
      </c>
    </row>
    <row r="30" spans="1:11" x14ac:dyDescent="0.25">
      <c r="A30" s="6" t="s">
        <v>59</v>
      </c>
      <c r="B30" s="8">
        <v>5059</v>
      </c>
      <c r="C30" s="8">
        <v>14041</v>
      </c>
      <c r="D30" s="8">
        <v>13656</v>
      </c>
      <c r="E30" s="8">
        <v>14736</v>
      </c>
      <c r="F30" s="8">
        <v>19154</v>
      </c>
      <c r="G30" s="8">
        <v>19063</v>
      </c>
      <c r="H30" s="8">
        <v>28311</v>
      </c>
      <c r="I30" s="8">
        <v>29684</v>
      </c>
      <c r="J30" s="8">
        <v>31182</v>
      </c>
      <c r="K30" s="8">
        <v>25364</v>
      </c>
    </row>
    <row r="31" spans="1:11" x14ac:dyDescent="0.25">
      <c r="A31" s="6" t="s">
        <v>60</v>
      </c>
      <c r="B31" s="8">
        <v>2965</v>
      </c>
      <c r="C31" s="8">
        <v>4794</v>
      </c>
      <c r="D31" s="8">
        <v>5420</v>
      </c>
      <c r="E31" s="8">
        <v>5468</v>
      </c>
      <c r="F31" s="8">
        <v>3498</v>
      </c>
      <c r="G31" s="8">
        <v>4389</v>
      </c>
      <c r="H31" s="8">
        <v>4301</v>
      </c>
      <c r="I31" s="8">
        <v>4081</v>
      </c>
      <c r="J31" s="8">
        <v>8021</v>
      </c>
      <c r="K31" s="8">
        <v>7638</v>
      </c>
    </row>
    <row r="32" spans="1:11" x14ac:dyDescent="0.25">
      <c r="A32" s="6" t="s">
        <v>61</v>
      </c>
      <c r="B32" s="8">
        <v>1580</v>
      </c>
      <c r="C32" s="8">
        <v>4261</v>
      </c>
      <c r="D32" s="8">
        <v>4694</v>
      </c>
      <c r="E32" s="8">
        <v>4981</v>
      </c>
      <c r="F32" s="8">
        <v>6152</v>
      </c>
      <c r="G32" s="8">
        <v>5636</v>
      </c>
      <c r="H32" s="8">
        <v>4691</v>
      </c>
      <c r="I32" s="8">
        <v>3753</v>
      </c>
      <c r="J32" s="8">
        <v>2522</v>
      </c>
      <c r="K32" s="8">
        <v>1933</v>
      </c>
    </row>
    <row r="33" spans="1:11" x14ac:dyDescent="0.25">
      <c r="A33" s="6" t="s">
        <v>62</v>
      </c>
      <c r="B33" s="8">
        <v>880</v>
      </c>
      <c r="C33" s="8">
        <v>880</v>
      </c>
      <c r="D33" s="8">
        <v>1760</v>
      </c>
      <c r="E33" s="8">
        <v>1760</v>
      </c>
      <c r="F33" s="8">
        <v>1760</v>
      </c>
      <c r="G33" s="8">
        <v>1760</v>
      </c>
      <c r="H33" s="8">
        <v>1760</v>
      </c>
      <c r="I33" s="8">
        <v>1760</v>
      </c>
      <c r="J33" s="8">
        <v>1760</v>
      </c>
      <c r="K33" s="8">
        <v>1760</v>
      </c>
    </row>
    <row r="34" spans="1:11" x14ac:dyDescent="0.25">
      <c r="A34" s="6" t="s">
        <v>63</v>
      </c>
      <c r="B34" s="8">
        <v>8537</v>
      </c>
      <c r="C34" s="8">
        <v>10057</v>
      </c>
      <c r="D34" s="8">
        <v>10332</v>
      </c>
      <c r="E34" s="8">
        <v>11379</v>
      </c>
      <c r="F34" s="8">
        <v>12276</v>
      </c>
      <c r="G34" s="8">
        <v>13154</v>
      </c>
      <c r="H34" s="8">
        <v>14016</v>
      </c>
      <c r="I34" s="8">
        <v>14993</v>
      </c>
      <c r="J34" s="8">
        <v>15864</v>
      </c>
      <c r="K34" s="8">
        <v>16520</v>
      </c>
    </row>
    <row r="35" spans="1:11" x14ac:dyDescent="0.25">
      <c r="A35" s="6" t="s">
        <v>64</v>
      </c>
      <c r="B35" s="8">
        <v>41537</v>
      </c>
      <c r="C35" s="8">
        <v>49278</v>
      </c>
      <c r="D35" s="8">
        <v>53621</v>
      </c>
      <c r="E35" s="8">
        <v>58045</v>
      </c>
      <c r="F35" s="8">
        <v>61660</v>
      </c>
      <c r="G35" s="8">
        <v>63408</v>
      </c>
      <c r="H35" s="8">
        <v>65018</v>
      </c>
      <c r="I35" s="8">
        <v>65502</v>
      </c>
      <c r="J35" s="8">
        <v>60430</v>
      </c>
      <c r="K35" s="8">
        <v>63234</v>
      </c>
    </row>
    <row r="36" spans="1:11" x14ac:dyDescent="0.25">
      <c r="A36" s="6" t="s">
        <v>65</v>
      </c>
      <c r="B36" s="8">
        <v>-757</v>
      </c>
      <c r="C36" s="8">
        <v>-1450</v>
      </c>
      <c r="D36" s="8">
        <v>-2774</v>
      </c>
      <c r="E36" s="8">
        <v>-3385</v>
      </c>
      <c r="F36" s="8">
        <v>-3432</v>
      </c>
      <c r="G36" s="8">
        <v>-5777</v>
      </c>
      <c r="H36" s="8">
        <v>-10174</v>
      </c>
      <c r="I36" s="8">
        <v>-11205</v>
      </c>
      <c r="J36" s="8">
        <v>-10305</v>
      </c>
      <c r="K36" s="8">
        <v>-12814</v>
      </c>
    </row>
    <row r="37" spans="1:11" x14ac:dyDescent="0.25">
      <c r="A37" s="6" t="s">
        <v>66</v>
      </c>
      <c r="B37" s="8">
        <v>-25398</v>
      </c>
      <c r="C37" s="8">
        <v>-27762</v>
      </c>
      <c r="D37" s="8">
        <v>-31304</v>
      </c>
      <c r="E37" s="8">
        <v>-35009</v>
      </c>
      <c r="F37" s="8">
        <v>-39091</v>
      </c>
      <c r="G37" s="8">
        <v>-42225</v>
      </c>
      <c r="H37" s="8">
        <v>-45066</v>
      </c>
      <c r="I37" s="8">
        <v>-47988</v>
      </c>
      <c r="J37" s="8">
        <v>-50677</v>
      </c>
      <c r="K37" s="8">
        <v>-51719</v>
      </c>
    </row>
    <row r="38" spans="1:11" x14ac:dyDescent="0.25">
      <c r="A38" s="9" t="s">
        <v>67</v>
      </c>
      <c r="B38" s="10">
        <v>24799</v>
      </c>
      <c r="C38" s="10">
        <v>31003</v>
      </c>
      <c r="D38" s="10">
        <v>31635</v>
      </c>
      <c r="E38" s="10">
        <v>32790</v>
      </c>
      <c r="F38" s="10">
        <v>33173</v>
      </c>
      <c r="G38" s="10">
        <v>30320</v>
      </c>
      <c r="H38" s="10">
        <v>25554</v>
      </c>
      <c r="I38" s="10">
        <v>23062</v>
      </c>
      <c r="J38" s="10">
        <v>17072</v>
      </c>
      <c r="K38" s="10">
        <v>16981</v>
      </c>
    </row>
    <row r="39" spans="1:11" x14ac:dyDescent="0.25">
      <c r="A39" s="6" t="s">
        <v>68</v>
      </c>
      <c r="B39" s="8">
        <v>547</v>
      </c>
      <c r="C39" s="8">
        <v>314</v>
      </c>
      <c r="D39" s="8">
        <v>286</v>
      </c>
      <c r="E39" s="8">
        <v>378</v>
      </c>
      <c r="F39" s="8">
        <v>267</v>
      </c>
      <c r="G39" s="8">
        <v>241</v>
      </c>
      <c r="H39" s="8">
        <v>210</v>
      </c>
      <c r="I39" s="8">
        <v>158</v>
      </c>
      <c r="J39" s="8">
        <v>1905</v>
      </c>
      <c r="K39" s="8">
        <v>2077</v>
      </c>
    </row>
    <row r="40" spans="1:11" x14ac:dyDescent="0.25">
      <c r="A40" s="9" t="s">
        <v>69</v>
      </c>
      <c r="B40" s="10">
        <v>25346</v>
      </c>
      <c r="C40" s="10">
        <v>31317</v>
      </c>
      <c r="D40" s="10">
        <v>31921</v>
      </c>
      <c r="E40" s="10">
        <v>33168</v>
      </c>
      <c r="F40" s="10">
        <v>33440</v>
      </c>
      <c r="G40" s="10">
        <v>30561</v>
      </c>
      <c r="H40" s="10">
        <v>25764</v>
      </c>
      <c r="I40" s="10">
        <v>23220</v>
      </c>
      <c r="J40" s="10">
        <v>18977</v>
      </c>
      <c r="K40" s="10">
        <v>19058</v>
      </c>
    </row>
    <row r="41" spans="1:11" x14ac:dyDescent="0.25">
      <c r="A41" s="9" t="s">
        <v>70</v>
      </c>
      <c r="B41" s="10">
        <v>48671</v>
      </c>
      <c r="C41" s="10">
        <v>72921</v>
      </c>
      <c r="D41" s="10">
        <v>79974</v>
      </c>
      <c r="E41" s="10">
        <v>86174</v>
      </c>
      <c r="F41" s="10">
        <v>90055</v>
      </c>
      <c r="G41" s="10">
        <v>92023</v>
      </c>
      <c r="H41" s="10">
        <v>89996</v>
      </c>
      <c r="I41" s="10">
        <v>87270</v>
      </c>
      <c r="J41" s="10">
        <v>87896</v>
      </c>
      <c r="K41" s="10">
        <v>83216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BD10-1D0A-46E4-935D-EE2505963A83}">
  <dimension ref="A2:K3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29" sqref="Q29"/>
    </sheetView>
  </sheetViews>
  <sheetFormatPr defaultRowHeight="15" x14ac:dyDescent="0.25"/>
  <cols>
    <col min="1" max="1" width="89.7109375" bestFit="1" customWidth="1"/>
  </cols>
  <sheetData>
    <row r="2" spans="1:11" x14ac:dyDescent="0.25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</row>
    <row r="3" spans="1:11" x14ac:dyDescent="0.25">
      <c r="A3" s="12" t="s">
        <v>108</v>
      </c>
      <c r="B3" s="11">
        <v>6906</v>
      </c>
      <c r="C3" s="11">
        <v>11837</v>
      </c>
      <c r="D3" s="11">
        <v>8646</v>
      </c>
      <c r="E3" s="11">
        <v>9086</v>
      </c>
      <c r="F3" s="11">
        <v>8626</v>
      </c>
      <c r="G3" s="11">
        <v>7124</v>
      </c>
      <c r="H3" s="11">
        <v>7366</v>
      </c>
      <c r="I3" s="11">
        <v>6550</v>
      </c>
      <c r="J3" s="11">
        <v>1283</v>
      </c>
      <c r="K3" s="11">
        <v>6476</v>
      </c>
    </row>
    <row r="4" spans="1:11" x14ac:dyDescent="0.25">
      <c r="A4" s="6" t="s">
        <v>72</v>
      </c>
      <c r="B4" s="11">
        <v>1236</v>
      </c>
      <c r="C4" s="11">
        <v>1443</v>
      </c>
      <c r="D4" s="11">
        <v>1954</v>
      </c>
      <c r="E4" s="11">
        <v>1982</v>
      </c>
      <c r="F4" s="11">
        <v>1977</v>
      </c>
      <c r="G4" s="11">
        <v>1976</v>
      </c>
      <c r="H4" s="11">
        <v>1970</v>
      </c>
      <c r="I4" s="11">
        <v>1787</v>
      </c>
      <c r="J4" s="11">
        <v>1260</v>
      </c>
      <c r="K4" s="11">
        <v>1086</v>
      </c>
    </row>
    <row r="5" spans="1:11" x14ac:dyDescent="0.25">
      <c r="A5" s="6" t="s">
        <v>73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11">
        <v>0</v>
      </c>
      <c r="I5" s="11">
        <v>0</v>
      </c>
      <c r="J5" s="11">
        <v>-101</v>
      </c>
      <c r="K5" s="11">
        <v>251</v>
      </c>
    </row>
    <row r="6" spans="1:11" x14ac:dyDescent="0.25">
      <c r="A6" s="6" t="s">
        <v>27</v>
      </c>
      <c r="B6" s="6">
        <v>6909</v>
      </c>
      <c r="C6" s="6">
        <v>11837</v>
      </c>
      <c r="D6" s="6">
        <v>8646</v>
      </c>
      <c r="E6" s="6">
        <v>9086</v>
      </c>
      <c r="F6" s="6">
        <v>8626</v>
      </c>
      <c r="G6" s="6">
        <v>7124</v>
      </c>
      <c r="H6" s="11">
        <v>7366</v>
      </c>
      <c r="I6" s="11">
        <v>6550</v>
      </c>
      <c r="J6" s="11">
        <v>1182</v>
      </c>
      <c r="K6" s="11">
        <v>6727</v>
      </c>
    </row>
    <row r="7" spans="1:11" x14ac:dyDescent="0.25">
      <c r="A7" s="6" t="s">
        <v>74</v>
      </c>
      <c r="B7" s="11">
        <v>241</v>
      </c>
      <c r="C7" s="11">
        <v>380</v>
      </c>
      <c r="D7" s="11">
        <v>354</v>
      </c>
      <c r="E7" s="11">
        <v>259</v>
      </c>
      <c r="F7" s="11">
        <v>227</v>
      </c>
      <c r="G7" s="11">
        <v>209</v>
      </c>
      <c r="H7" s="11">
        <v>236</v>
      </c>
      <c r="I7" s="11">
        <v>258</v>
      </c>
      <c r="J7" s="11">
        <v>219</v>
      </c>
      <c r="K7" s="11">
        <v>225</v>
      </c>
    </row>
    <row r="8" spans="1:11" x14ac:dyDescent="0.25">
      <c r="A8" s="6" t="s">
        <v>61</v>
      </c>
      <c r="B8" s="11">
        <v>353</v>
      </c>
      <c r="C8" s="11">
        <v>604</v>
      </c>
      <c r="D8" s="11">
        <v>1035</v>
      </c>
      <c r="E8" s="11">
        <v>632</v>
      </c>
      <c r="F8" s="11">
        <v>648</v>
      </c>
      <c r="G8" s="11">
        <v>-40</v>
      </c>
      <c r="H8" s="11">
        <v>73</v>
      </c>
      <c r="I8" s="11">
        <v>-856</v>
      </c>
      <c r="J8" s="11">
        <v>-1256</v>
      </c>
      <c r="K8" s="11">
        <v>-450</v>
      </c>
    </row>
    <row r="9" spans="1:11" x14ac:dyDescent="0.25">
      <c r="A9" s="6" t="s">
        <v>75</v>
      </c>
      <c r="B9" s="11">
        <v>-359</v>
      </c>
      <c r="C9" s="11">
        <v>-671</v>
      </c>
      <c r="D9" s="11">
        <v>-269</v>
      </c>
      <c r="E9" s="11">
        <v>-426</v>
      </c>
      <c r="F9" s="11">
        <v>-201</v>
      </c>
      <c r="G9" s="11">
        <v>-371</v>
      </c>
      <c r="H9" s="11">
        <v>-122</v>
      </c>
      <c r="I9" s="11">
        <v>-449</v>
      </c>
      <c r="J9" s="11">
        <v>-628</v>
      </c>
      <c r="K9" s="11">
        <v>-457</v>
      </c>
    </row>
    <row r="10" spans="1:11" x14ac:dyDescent="0.25">
      <c r="A10" s="6" t="s">
        <v>76</v>
      </c>
      <c r="B10" s="11">
        <v>61</v>
      </c>
      <c r="C10" s="11">
        <v>151</v>
      </c>
      <c r="D10" s="11">
        <v>7</v>
      </c>
      <c r="E10" s="11">
        <v>-130</v>
      </c>
      <c r="F10" s="11">
        <v>168</v>
      </c>
      <c r="G10" s="11">
        <v>415</v>
      </c>
      <c r="H10" s="11">
        <v>-137</v>
      </c>
      <c r="I10" s="11">
        <v>158</v>
      </c>
      <c r="J10" s="11">
        <v>281</v>
      </c>
      <c r="K10" s="11">
        <v>-38</v>
      </c>
    </row>
    <row r="11" spans="1:11" x14ac:dyDescent="0.25">
      <c r="A11" s="6" t="s">
        <v>77</v>
      </c>
      <c r="B11" s="11">
        <v>-43</v>
      </c>
      <c r="C11" s="11">
        <v>-645</v>
      </c>
      <c r="D11" s="11">
        <v>-220</v>
      </c>
      <c r="E11" s="11">
        <v>-98</v>
      </c>
      <c r="F11" s="11">
        <v>-670</v>
      </c>
      <c r="G11" s="11">
        <v>831</v>
      </c>
      <c r="H11" s="11">
        <v>-374</v>
      </c>
      <c r="I11" s="11">
        <v>1146</v>
      </c>
      <c r="J11" s="11">
        <v>1459</v>
      </c>
      <c r="K11" s="11">
        <v>189</v>
      </c>
    </row>
    <row r="12" spans="1:11" x14ac:dyDescent="0.25">
      <c r="A12" s="6" t="s">
        <v>78</v>
      </c>
      <c r="B12" s="11">
        <v>0</v>
      </c>
      <c r="C12" s="11">
        <v>-4713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</row>
    <row r="13" spans="1:11" x14ac:dyDescent="0.25">
      <c r="A13" s="6" t="s">
        <v>17</v>
      </c>
      <c r="B13" s="8">
        <v>134</v>
      </c>
      <c r="C13" s="8">
        <v>264</v>
      </c>
      <c r="D13" s="8">
        <v>214</v>
      </c>
      <c r="E13" s="8">
        <v>166</v>
      </c>
      <c r="F13" s="8">
        <v>465</v>
      </c>
      <c r="G13" s="8">
        <v>761</v>
      </c>
      <c r="H13" s="8">
        <v>929</v>
      </c>
      <c r="I13" s="8">
        <v>647</v>
      </c>
      <c r="J13" s="8">
        <v>1218</v>
      </c>
      <c r="K13" s="8">
        <v>558</v>
      </c>
    </row>
    <row r="14" spans="1:11" x14ac:dyDescent="0.25">
      <c r="A14" s="6" t="s">
        <v>79</v>
      </c>
      <c r="B14" s="8">
        <v>221</v>
      </c>
      <c r="C14" s="8">
        <v>512</v>
      </c>
      <c r="D14" s="8">
        <v>-354</v>
      </c>
      <c r="E14" s="8">
        <v>254</v>
      </c>
      <c r="F14" s="8">
        <v>234</v>
      </c>
      <c r="G14" s="8">
        <v>149</v>
      </c>
      <c r="H14" s="8">
        <v>744</v>
      </c>
      <c r="I14" s="8">
        <v>-224</v>
      </c>
      <c r="J14" s="8">
        <v>-269</v>
      </c>
      <c r="K14" s="8">
        <v>682</v>
      </c>
    </row>
    <row r="15" spans="1:11" x14ac:dyDescent="0.25">
      <c r="A15" s="6" t="s">
        <v>80</v>
      </c>
      <c r="B15" s="8">
        <v>-564</v>
      </c>
      <c r="C15" s="8">
        <v>370</v>
      </c>
      <c r="D15" s="8">
        <v>-1893</v>
      </c>
      <c r="E15" s="8">
        <v>-1080</v>
      </c>
      <c r="F15" s="8">
        <v>-932</v>
      </c>
      <c r="G15" s="8">
        <v>-439</v>
      </c>
      <c r="H15" s="8">
        <v>-157</v>
      </c>
      <c r="I15" s="8">
        <v>-221</v>
      </c>
      <c r="J15" s="8">
        <v>3464</v>
      </c>
      <c r="K15" s="8">
        <v>-1202</v>
      </c>
    </row>
    <row r="16" spans="1:11" x14ac:dyDescent="0.25">
      <c r="A16" s="9" t="s">
        <v>81</v>
      </c>
      <c r="B16" s="10">
        <v>8186</v>
      </c>
      <c r="C16" s="10">
        <v>9532</v>
      </c>
      <c r="D16" s="10">
        <v>9474</v>
      </c>
      <c r="E16" s="10">
        <v>10645</v>
      </c>
      <c r="F16" s="10">
        <v>10542</v>
      </c>
      <c r="G16" s="10">
        <v>10615</v>
      </c>
      <c r="H16" s="10">
        <v>10528</v>
      </c>
      <c r="I16" s="10">
        <v>8796</v>
      </c>
      <c r="J16" s="10">
        <v>6930</v>
      </c>
      <c r="K16" s="10">
        <v>7320</v>
      </c>
    </row>
    <row r="17" spans="1:11" x14ac:dyDescent="0.25">
      <c r="A17" s="6" t="s">
        <v>82</v>
      </c>
      <c r="B17" s="8">
        <v>-2130</v>
      </c>
      <c r="C17" s="8">
        <v>-4579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</row>
    <row r="18" spans="1:11" x14ac:dyDescent="0.25">
      <c r="A18" s="6" t="s">
        <v>83</v>
      </c>
      <c r="B18" s="8">
        <v>-22</v>
      </c>
      <c r="C18" s="8">
        <v>-132</v>
      </c>
      <c r="D18" s="8">
        <v>-4798</v>
      </c>
      <c r="E18" s="8">
        <v>-14824</v>
      </c>
      <c r="F18" s="8">
        <v>-14782</v>
      </c>
      <c r="G18" s="8">
        <v>-17800</v>
      </c>
      <c r="H18" s="8">
        <v>-15831</v>
      </c>
      <c r="I18" s="8">
        <v>-15499</v>
      </c>
      <c r="J18" s="8">
        <v>-17296</v>
      </c>
      <c r="K18" s="8">
        <v>-7789</v>
      </c>
    </row>
    <row r="19" spans="1:11" x14ac:dyDescent="0.25">
      <c r="A19" s="6" t="s">
        <v>84</v>
      </c>
      <c r="B19" s="8">
        <v>0</v>
      </c>
      <c r="C19" s="8">
        <v>4032</v>
      </c>
      <c r="D19" s="8">
        <v>5811</v>
      </c>
      <c r="E19" s="8">
        <v>7791</v>
      </c>
      <c r="F19" s="8">
        <v>12791</v>
      </c>
      <c r="G19" s="8">
        <v>12986</v>
      </c>
      <c r="H19" s="8">
        <v>14079</v>
      </c>
      <c r="I19" s="8">
        <v>16624</v>
      </c>
      <c r="J19" s="8">
        <v>16694</v>
      </c>
      <c r="K19" s="8">
        <v>14977</v>
      </c>
    </row>
    <row r="20" spans="1:11" x14ac:dyDescent="0.25">
      <c r="A20" s="6" t="s">
        <v>85</v>
      </c>
      <c r="B20" s="8">
        <v>-300</v>
      </c>
      <c r="C20" s="8">
        <v>-2511</v>
      </c>
      <c r="D20" s="8">
        <v>-971</v>
      </c>
      <c r="E20" s="8">
        <v>-1486</v>
      </c>
      <c r="F20" s="8">
        <v>-353</v>
      </c>
      <c r="G20" s="8">
        <v>-389</v>
      </c>
      <c r="H20" s="8">
        <v>-2491</v>
      </c>
      <c r="I20" s="8">
        <v>-838</v>
      </c>
      <c r="J20" s="8">
        <v>-3809</v>
      </c>
      <c r="K20" s="8">
        <v>-1040</v>
      </c>
    </row>
    <row r="21" spans="1:11" x14ac:dyDescent="0.25">
      <c r="A21" s="6" t="s">
        <v>86</v>
      </c>
      <c r="B21" s="8">
        <v>240</v>
      </c>
      <c r="C21" s="8">
        <v>972</v>
      </c>
      <c r="D21" s="8">
        <v>398</v>
      </c>
      <c r="E21" s="8">
        <v>20</v>
      </c>
      <c r="F21" s="8">
        <v>872</v>
      </c>
      <c r="G21" s="8">
        <v>148</v>
      </c>
      <c r="H21" s="8">
        <v>565</v>
      </c>
      <c r="I21" s="8">
        <v>1035</v>
      </c>
      <c r="J21" s="8">
        <v>3821</v>
      </c>
      <c r="K21" s="8">
        <v>1362</v>
      </c>
    </row>
    <row r="22" spans="1:11" x14ac:dyDescent="0.25">
      <c r="A22" s="6" t="s">
        <v>87</v>
      </c>
      <c r="B22" s="8">
        <v>-1993</v>
      </c>
      <c r="C22" s="8">
        <v>-2215</v>
      </c>
      <c r="D22" s="8">
        <v>-2920</v>
      </c>
      <c r="E22" s="8">
        <v>-2780</v>
      </c>
      <c r="F22" s="8">
        <v>-2550</v>
      </c>
      <c r="G22" s="8">
        <v>-2406</v>
      </c>
      <c r="H22" s="8">
        <v>-2553</v>
      </c>
      <c r="I22" s="8">
        <v>-2262</v>
      </c>
      <c r="J22" s="8">
        <v>-1675</v>
      </c>
      <c r="K22" s="8">
        <v>-1347</v>
      </c>
    </row>
    <row r="23" spans="1:11" x14ac:dyDescent="0.25">
      <c r="A23" s="6" t="s">
        <v>88</v>
      </c>
      <c r="B23" s="8">
        <v>104</v>
      </c>
      <c r="C23" s="8">
        <v>134</v>
      </c>
      <c r="D23" s="8">
        <v>101</v>
      </c>
      <c r="E23" s="8">
        <v>143</v>
      </c>
      <c r="F23" s="8">
        <v>111</v>
      </c>
      <c r="G23" s="8">
        <v>223</v>
      </c>
      <c r="H23" s="8">
        <v>85</v>
      </c>
      <c r="I23" s="8">
        <v>150</v>
      </c>
      <c r="J23" s="8">
        <v>104</v>
      </c>
      <c r="K23" s="8">
        <v>245</v>
      </c>
    </row>
    <row r="24" spans="1:11" x14ac:dyDescent="0.25">
      <c r="A24" s="6" t="s">
        <v>89</v>
      </c>
      <c r="B24" s="8">
        <v>-48</v>
      </c>
      <c r="C24" s="8">
        <v>-106</v>
      </c>
      <c r="D24" s="8">
        <v>-145</v>
      </c>
      <c r="E24" s="8">
        <v>-268</v>
      </c>
      <c r="F24" s="8">
        <v>-303</v>
      </c>
      <c r="G24" s="8">
        <v>-268</v>
      </c>
      <c r="H24" s="8">
        <v>-40</v>
      </c>
      <c r="I24" s="8">
        <v>-209</v>
      </c>
      <c r="J24" s="8">
        <v>-93</v>
      </c>
      <c r="K24" s="8">
        <v>-60</v>
      </c>
    </row>
    <row r="25" spans="1:11" x14ac:dyDescent="0.25">
      <c r="A25" s="9" t="s">
        <v>90</v>
      </c>
      <c r="B25" s="10">
        <v>-4149</v>
      </c>
      <c r="C25" s="10">
        <v>-4405</v>
      </c>
      <c r="D25" s="10">
        <v>-2524</v>
      </c>
      <c r="E25" s="10">
        <v>-11404</v>
      </c>
      <c r="F25" s="10">
        <v>-4214</v>
      </c>
      <c r="G25" s="10">
        <v>-7506</v>
      </c>
      <c r="H25" s="10">
        <v>-6186</v>
      </c>
      <c r="I25" s="10">
        <v>-999</v>
      </c>
      <c r="J25" s="10">
        <v>-2254</v>
      </c>
      <c r="K25" s="10">
        <v>6348</v>
      </c>
    </row>
    <row r="26" spans="1:11" x14ac:dyDescent="0.25">
      <c r="A26" s="6" t="s">
        <v>91</v>
      </c>
      <c r="B26" s="8">
        <v>14689</v>
      </c>
      <c r="C26" s="8">
        <v>15251</v>
      </c>
      <c r="D26" s="8">
        <v>27495</v>
      </c>
      <c r="E26" s="8">
        <v>42791</v>
      </c>
      <c r="F26" s="8">
        <v>43425</v>
      </c>
      <c r="G26" s="8">
        <v>41674</v>
      </c>
      <c r="H26" s="8">
        <v>40434</v>
      </c>
      <c r="I26" s="8">
        <v>27281</v>
      </c>
      <c r="J26" s="8">
        <v>29857</v>
      </c>
      <c r="K26" s="8">
        <v>27339</v>
      </c>
    </row>
    <row r="27" spans="1:11" x14ac:dyDescent="0.25">
      <c r="A27" s="6" t="s">
        <v>92</v>
      </c>
      <c r="B27" s="8">
        <v>-12326</v>
      </c>
      <c r="C27" s="8">
        <v>-13403</v>
      </c>
      <c r="D27" s="8">
        <v>-22530</v>
      </c>
      <c r="E27" s="8">
        <v>-38573</v>
      </c>
      <c r="F27" s="8">
        <v>-38714</v>
      </c>
      <c r="G27" s="8">
        <v>-36962</v>
      </c>
      <c r="H27" s="8">
        <v>-37738</v>
      </c>
      <c r="I27" s="8">
        <v>-25615</v>
      </c>
      <c r="J27" s="8">
        <v>-28768</v>
      </c>
      <c r="K27" s="8">
        <v>-30568</v>
      </c>
    </row>
    <row r="28" spans="1:11" x14ac:dyDescent="0.25">
      <c r="A28" s="6" t="s">
        <v>93</v>
      </c>
      <c r="B28" s="8">
        <v>664</v>
      </c>
      <c r="C28" s="8">
        <v>1666</v>
      </c>
      <c r="D28" s="8">
        <v>1569</v>
      </c>
      <c r="E28" s="8">
        <v>1489</v>
      </c>
      <c r="F28" s="8">
        <v>1328</v>
      </c>
      <c r="G28" s="8">
        <v>1532</v>
      </c>
      <c r="H28" s="8">
        <v>1245</v>
      </c>
      <c r="I28" s="8">
        <v>1434</v>
      </c>
      <c r="J28" s="8">
        <v>1595</v>
      </c>
      <c r="K28" s="8">
        <v>1476</v>
      </c>
    </row>
    <row r="29" spans="1:11" x14ac:dyDescent="0.25">
      <c r="A29" s="6" t="s">
        <v>94</v>
      </c>
      <c r="B29" s="8">
        <v>-1518</v>
      </c>
      <c r="C29" s="8">
        <v>-2961</v>
      </c>
      <c r="D29" s="8">
        <v>-4513</v>
      </c>
      <c r="E29" s="8">
        <v>-4559</v>
      </c>
      <c r="F29" s="8">
        <v>-4832</v>
      </c>
      <c r="G29" s="8">
        <v>-4162</v>
      </c>
      <c r="H29" s="8">
        <v>-3564</v>
      </c>
      <c r="I29" s="8">
        <v>-3681</v>
      </c>
      <c r="J29" s="8">
        <v>-3682</v>
      </c>
      <c r="K29" s="8">
        <v>-1912</v>
      </c>
    </row>
    <row r="30" spans="1:11" x14ac:dyDescent="0.25">
      <c r="A30" s="6" t="s">
        <v>95</v>
      </c>
      <c r="B30" s="8">
        <v>-3800</v>
      </c>
      <c r="C30" s="8">
        <v>-4068</v>
      </c>
      <c r="D30" s="8">
        <v>-4300</v>
      </c>
      <c r="E30" s="8">
        <v>-4595</v>
      </c>
      <c r="F30" s="8">
        <v>-4969</v>
      </c>
      <c r="G30" s="8">
        <v>-5350</v>
      </c>
      <c r="H30" s="8">
        <v>-5741</v>
      </c>
      <c r="I30" s="8">
        <v>-6043</v>
      </c>
      <c r="J30" s="8">
        <v>-6320</v>
      </c>
      <c r="K30" s="8">
        <v>-6644</v>
      </c>
    </row>
    <row r="31" spans="1:11" x14ac:dyDescent="0.25">
      <c r="A31" s="6" t="s">
        <v>96</v>
      </c>
      <c r="B31" s="8">
        <v>-2</v>
      </c>
      <c r="C31" s="8">
        <v>50</v>
      </c>
      <c r="D31" s="8">
        <v>45</v>
      </c>
      <c r="E31" s="8">
        <v>100</v>
      </c>
      <c r="F31" s="8">
        <v>17</v>
      </c>
      <c r="G31" s="8">
        <v>-363</v>
      </c>
      <c r="H31" s="8">
        <v>251</v>
      </c>
      <c r="I31" s="8">
        <v>79</v>
      </c>
      <c r="J31" s="8">
        <v>-91</v>
      </c>
      <c r="K31" s="8">
        <v>-243</v>
      </c>
    </row>
    <row r="32" spans="1:11" x14ac:dyDescent="0.25">
      <c r="A32" s="9" t="s">
        <v>97</v>
      </c>
      <c r="B32" s="10">
        <v>-2293</v>
      </c>
      <c r="C32" s="10">
        <v>-3465</v>
      </c>
      <c r="D32" s="10">
        <v>-2234</v>
      </c>
      <c r="E32" s="10">
        <v>-3347</v>
      </c>
      <c r="F32" s="10">
        <v>-3745</v>
      </c>
      <c r="G32" s="10">
        <v>-3631</v>
      </c>
      <c r="H32" s="10">
        <v>-5113</v>
      </c>
      <c r="I32" s="10">
        <v>-6545</v>
      </c>
      <c r="J32" s="10">
        <v>-7409</v>
      </c>
      <c r="K32" s="10">
        <v>-10552</v>
      </c>
    </row>
    <row r="33" spans="1:11" x14ac:dyDescent="0.25">
      <c r="A33" s="6" t="s">
        <v>98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111</v>
      </c>
      <c r="K33" s="8">
        <v>307</v>
      </c>
    </row>
    <row r="34" spans="1:11" x14ac:dyDescent="0.25">
      <c r="A34" s="6" t="s">
        <v>99</v>
      </c>
      <c r="B34" s="8">
        <v>576</v>
      </c>
      <c r="C34" s="8">
        <v>-166</v>
      </c>
      <c r="D34" s="8">
        <v>-430</v>
      </c>
      <c r="E34" s="8">
        <v>-255</v>
      </c>
      <c r="F34" s="8">
        <v>-611</v>
      </c>
      <c r="G34" s="8">
        <v>-934</v>
      </c>
      <c r="H34" s="8">
        <v>-878</v>
      </c>
      <c r="I34" s="8">
        <v>-6</v>
      </c>
      <c r="J34" s="8">
        <v>241</v>
      </c>
      <c r="K34" s="8">
        <v>-262</v>
      </c>
    </row>
    <row r="35" spans="1:11" x14ac:dyDescent="0.25">
      <c r="A35" s="6" t="s">
        <v>100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-58</v>
      </c>
      <c r="K35" s="8">
        <v>-421</v>
      </c>
    </row>
    <row r="36" spans="1:11" x14ac:dyDescent="0.25">
      <c r="A36" s="6" t="s">
        <v>101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-38</v>
      </c>
      <c r="K36" s="8">
        <v>205</v>
      </c>
    </row>
    <row r="37" spans="1:11" x14ac:dyDescent="0.25">
      <c r="A37" s="6" t="s">
        <v>102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15</v>
      </c>
      <c r="K37" s="8">
        <v>91</v>
      </c>
    </row>
    <row r="38" spans="1:11" x14ac:dyDescent="0.25">
      <c r="A38" s="9" t="s">
        <v>103</v>
      </c>
      <c r="B38" s="10">
        <v>2320</v>
      </c>
      <c r="C38" s="10">
        <v>1496</v>
      </c>
      <c r="D38" s="10">
        <v>4286</v>
      </c>
      <c r="E38" s="10">
        <v>-4361</v>
      </c>
      <c r="F38" s="10">
        <v>1972</v>
      </c>
      <c r="G38" s="10">
        <v>-1456</v>
      </c>
      <c r="H38" s="10">
        <v>-1649</v>
      </c>
      <c r="I38" s="10">
        <v>1246</v>
      </c>
      <c r="J38" s="10">
        <v>-2477</v>
      </c>
      <c r="K38" s="10">
        <v>2945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98859-D4BD-48AA-93E1-42AAAAFC7229}">
  <dimension ref="A1:L19"/>
  <sheetViews>
    <sheetView workbookViewId="0">
      <pane xSplit="1" topLeftCell="B1" activePane="topRight" state="frozen"/>
      <selection pane="topRight" activeCell="T19" sqref="T19"/>
    </sheetView>
  </sheetViews>
  <sheetFormatPr defaultRowHeight="15" x14ac:dyDescent="0.25"/>
  <cols>
    <col min="1" max="1" width="20.5703125" bestFit="1" customWidth="1"/>
    <col min="2" max="2" width="13.42578125" customWidth="1"/>
    <col min="3" max="11" width="10.5703125" bestFit="1" customWidth="1"/>
  </cols>
  <sheetData>
    <row r="1" spans="1:11" x14ac:dyDescent="0.25">
      <c r="A1" s="13" t="s">
        <v>109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</row>
    <row r="2" spans="1:11" x14ac:dyDescent="0.25">
      <c r="A2" s="13" t="s">
        <v>110</v>
      </c>
      <c r="B2" s="14">
        <f>'P&amp;L Clean'!B5/'P&amp;L Clean'!B3</f>
        <v>0.6422071636011617</v>
      </c>
      <c r="C2" s="14">
        <f>'P&amp;L Clean'!C5/'P&amp;L Clean'!C3</f>
        <v>0.63857171331757734</v>
      </c>
      <c r="D2" s="14">
        <f>'P&amp;L Clean'!D5/'P&amp;L Clean'!D3</f>
        <v>0.60863306261011563</v>
      </c>
      <c r="E2" s="14">
        <f>'P&amp;L Clean'!E5/'P&amp;L Clean'!E3</f>
        <v>0.60320303225940808</v>
      </c>
      <c r="F2" s="14">
        <f>'P&amp;L Clean'!F5/'P&amp;L Clean'!F3</f>
        <v>0.60684253212105688</v>
      </c>
      <c r="G2" s="14">
        <f>'P&amp;L Clean'!G5/'P&amp;L Clean'!G3</f>
        <v>0.61109178659941732</v>
      </c>
      <c r="H2" s="14">
        <f>'P&amp;L Clean'!H5/'P&amp;L Clean'!H3</f>
        <v>0.60531900483135415</v>
      </c>
      <c r="I2" s="14">
        <f>'P&amp;L Clean'!I5/'P&amp;L Clean'!I3</f>
        <v>0.60669326135250701</v>
      </c>
      <c r="J2" s="14">
        <f>'P&amp;L Clean'!J5/'P&amp;L Clean'!J3</f>
        <v>0.62567071448743294</v>
      </c>
      <c r="K2" s="14">
        <f>'P&amp;L Clean'!K5/'P&amp;L Clean'!K3</f>
        <v>0.63052486187845302</v>
      </c>
    </row>
    <row r="3" spans="1:11" x14ac:dyDescent="0.25">
      <c r="A3" s="13" t="s">
        <v>111</v>
      </c>
      <c r="B3" s="14">
        <f>'P&amp;L Clean'!B8/'P&amp;L Clean'!B3</f>
        <v>0.26560180703452729</v>
      </c>
      <c r="C3" s="14">
        <f>'P&amp;L Clean'!C8/'P&amp;L Clean'!C3</f>
        <v>0.23955693499245423</v>
      </c>
      <c r="D3" s="14">
        <f>'P&amp;L Clean'!D8/'P&amp;L Clean'!D3</f>
        <v>0.21857676936960166</v>
      </c>
      <c r="E3" s="14">
        <f>'P&amp;L Clean'!E8/'P&amp;L Clean'!E3</f>
        <v>0.22448299560572296</v>
      </c>
      <c r="F3" s="14">
        <f>'P&amp;L Clean'!F8/'P&amp;L Clean'!F3</f>
        <v>0.21829512955137234</v>
      </c>
      <c r="G3" s="14">
        <f>'P&amp;L Clean'!G8/'P&amp;L Clean'!G3</f>
        <v>0.21105265446323754</v>
      </c>
      <c r="H3" s="14">
        <f>'P&amp;L Clean'!H8/'P&amp;L Clean'!H3</f>
        <v>0.19704700410890866</v>
      </c>
      <c r="I3" s="14">
        <f>'P&amp;L Clean'!I8/'P&amp;L Clean'!I3</f>
        <v>0.20605307789694957</v>
      </c>
      <c r="J3" s="14">
        <f>'P&amp;L Clean'!J8/'P&amp;L Clean'!J3</f>
        <v>0.21460039536853995</v>
      </c>
      <c r="K3" s="14">
        <f>'P&amp;L Clean'!K8/'P&amp;L Clean'!K3</f>
        <v>0.27310396785534907</v>
      </c>
    </row>
    <row r="4" spans="1:11" x14ac:dyDescent="0.25">
      <c r="A4" s="13" t="s">
        <v>112</v>
      </c>
      <c r="B4" s="14">
        <f>'P&amp;L Clean'!B15/'P&amp;L Clean'!B3</f>
        <v>0.22284607938044532</v>
      </c>
      <c r="C4" s="14">
        <f>'P&amp;L Clean'!C15/'P&amp;L Clean'!C3</f>
        <v>0.33705401634442894</v>
      </c>
      <c r="D4" s="14">
        <f>'P&amp;L Clean'!D15/'P&amp;L Clean'!D3</f>
        <v>0.18576769369601651</v>
      </c>
      <c r="E4" s="14">
        <f>'P&amp;L Clean'!E15/'P&amp;L Clean'!E3</f>
        <v>0.18922464960326552</v>
      </c>
      <c r="F4" s="14">
        <f>'P&amp;L Clean'!F15/'P&amp;L Clean'!F3</f>
        <v>0.18410381184103811</v>
      </c>
      <c r="G4" s="14">
        <f>'P&amp;L Clean'!G15/'P&amp;L Clean'!G3</f>
        <v>0.1548762989695204</v>
      </c>
      <c r="H4" s="14">
        <f>'P&amp;L Clean'!H15/'P&amp;L Clean'!H3</f>
        <v>0.16629791845396669</v>
      </c>
      <c r="I4" s="14">
        <f>'P&amp;L Clean'!I15/'P&amp;L Clean'!I3</f>
        <v>0.15646274753362158</v>
      </c>
      <c r="J4" s="14">
        <f>'P&amp;L Clean'!J15/'P&amp;L Clean'!J3</f>
        <v>3.6232702626376727E-2</v>
      </c>
      <c r="K4" s="14">
        <f>'P&amp;L Clean'!K15/'P&amp;L Clean'!K3</f>
        <v>0.2032898041185334</v>
      </c>
    </row>
    <row r="6" spans="1:11" x14ac:dyDescent="0.25">
      <c r="A6" s="13" t="s">
        <v>113</v>
      </c>
      <c r="C6" s="15">
        <f>('P&amp;L Clean'!C3-'P&amp;L Clean'!B3)/'P&amp;L Clean'!B3</f>
        <v>0.13323652791222976</v>
      </c>
      <c r="D6" s="15">
        <f>('P&amp;L Clean'!D3-'P&amp;L Clean'!C3)/'P&amp;L Clean'!C3</f>
        <v>0.32526552578376378</v>
      </c>
      <c r="E6" s="15">
        <f>('P&amp;L Clean'!E3-'P&amp;L Clean'!D3)/'P&amp;L Clean'!D3</f>
        <v>3.1691805251170983E-2</v>
      </c>
      <c r="F6" s="15">
        <f>('P&amp;L Clean'!F3-'P&amp;L Clean'!E3)/'P&amp;L Clean'!E3</f>
        <v>-2.4220588541558199E-2</v>
      </c>
      <c r="G6" s="15">
        <f>('P&amp;L Clean'!G3-'P&amp;L Clean'!F3)/'P&amp;L Clean'!F3</f>
        <v>-1.8269518077432025E-2</v>
      </c>
      <c r="H6" s="15">
        <f>('P&amp;L Clean'!H3-'P&amp;L Clean'!G3)/'P&amp;L Clean'!G3</f>
        <v>-3.7045088916909434E-2</v>
      </c>
      <c r="I6" s="15">
        <f>('P&amp;L Clean'!I3-'P&amp;L Clean'!H3)/'P&amp;L Clean'!H3</f>
        <v>-5.4883279902469863E-2</v>
      </c>
      <c r="J6" s="15">
        <f>('P&amp;L Clean'!J3-'P&amp;L Clean'!I3)/'P&amp;L Clean'!I3</f>
        <v>-0.15414566562358167</v>
      </c>
      <c r="K6" s="15">
        <f>('P&amp;L Clean'!K3-'P&amp;L Clean'!J3)/'P&amp;L Clean'!J3</f>
        <v>-0.10036712792996329</v>
      </c>
    </row>
    <row r="7" spans="1:11" x14ac:dyDescent="0.25">
      <c r="A7" s="13" t="s">
        <v>114</v>
      </c>
      <c r="C7" s="15">
        <f>('P&amp;L Clean'!C15-'P&amp;L Clean'!B15)/'P&amp;L Clean'!B15</f>
        <v>0.71401679698812626</v>
      </c>
      <c r="D7" s="15">
        <f>('P&amp;L Clean'!D15-'P&amp;L Clean'!C15)/'P&amp;L Clean'!C15</f>
        <v>-0.26957844048323054</v>
      </c>
      <c r="E7" s="15">
        <f>('P&amp;L Clean'!E15-'P&amp;L Clean'!D15)/'P&amp;L Clean'!D15</f>
        <v>5.0890585241730277E-2</v>
      </c>
      <c r="F7" s="15">
        <f>('P&amp;L Clean'!F15-'P&amp;L Clean'!E15)/'P&amp;L Clean'!E15</f>
        <v>-5.0627338762931982E-2</v>
      </c>
      <c r="G7" s="15">
        <f>('P&amp;L Clean'!G15-'P&amp;L Clean'!F15)/'P&amp;L Clean'!F15</f>
        <v>-0.17412473916067703</v>
      </c>
      <c r="H7" s="15">
        <f>('P&amp;L Clean'!H15-'P&amp;L Clean'!G15)/'P&amp;L Clean'!G15</f>
        <v>3.3969679955081412E-2</v>
      </c>
      <c r="I7" s="15">
        <f>('P&amp;L Clean'!I15-'P&amp;L Clean'!H15)/'P&amp;L Clean'!H15</f>
        <v>-0.1107792560412707</v>
      </c>
      <c r="J7" s="15">
        <f>('P&amp;L Clean'!J15-'P&amp;L Clean'!I15)/'P&amp;L Clean'!I15</f>
        <v>-0.80412213740458016</v>
      </c>
      <c r="K7" s="15">
        <f>('P&amp;L Clean'!K15-'P&amp;L Clean'!J15)/'P&amp;L Clean'!J15</f>
        <v>4.0475448168355417</v>
      </c>
    </row>
    <row r="9" spans="1:11" x14ac:dyDescent="0.25">
      <c r="A9" s="13" t="s">
        <v>115</v>
      </c>
      <c r="B9" s="16">
        <f>'Balance Sheet Clean'!B12/'Balance Sheet Clean'!B29</f>
        <v>1.2791341738940309</v>
      </c>
      <c r="C9" s="16">
        <f>'Balance Sheet Clean'!C12/'Balance Sheet Clean'!C29</f>
        <v>1.1659282472444348</v>
      </c>
      <c r="D9" s="16">
        <f>'Balance Sheet Clean'!D12/'Balance Sheet Clean'!D29</f>
        <v>1.0499938228390231</v>
      </c>
      <c r="E9" s="16">
        <f>'Balance Sheet Clean'!E12/'Balance Sheet Clean'!E29</f>
        <v>1.0901117860608893</v>
      </c>
      <c r="F9" s="16">
        <f>'Balance Sheet Clean'!F12/'Balance Sheet Clean'!F29</f>
        <v>1.1255977850490813</v>
      </c>
      <c r="G9" s="16">
        <f>'Balance Sheet Clean'!G12/'Balance Sheet Clean'!G29</f>
        <v>1.0189040588126275</v>
      </c>
      <c r="H9" s="16">
        <f>'Balance Sheet Clean'!H12/'Balance Sheet Clean'!H29</f>
        <v>1.2401128894500353</v>
      </c>
      <c r="I9" s="16">
        <f>'Balance Sheet Clean'!I12/'Balance Sheet Clean'!I29</f>
        <v>1.2818483340871401</v>
      </c>
      <c r="J9" s="16">
        <f>'Balance Sheet Clean'!J12/'Balance Sheet Clean'!J29</f>
        <v>1.3438626167536956</v>
      </c>
      <c r="K9" s="16">
        <f>'Balance Sheet Clean'!K12/'Balance Sheet Clean'!K29</f>
        <v>1.048283885980221</v>
      </c>
    </row>
    <row r="10" spans="1:11" x14ac:dyDescent="0.25">
      <c r="A10" s="13" t="s">
        <v>116</v>
      </c>
      <c r="B10" s="16">
        <f>('Balance Sheet Clean'!B30+'Balance Sheet Clean'!B24+'Balance Sheet Clean'!B25)/'Balance Sheet Clean'!B40</f>
        <v>0.46788447881322498</v>
      </c>
      <c r="C10" s="16">
        <f>('Balance Sheet Clean'!C30+'Balance Sheet Clean'!C24+'Balance Sheet Clean'!C25)/'Balance Sheet Clean'!C40</f>
        <v>0.74774084363125459</v>
      </c>
      <c r="D10" s="16">
        <f>('Balance Sheet Clean'!D30+'Balance Sheet Clean'!D24+'Balance Sheet Clean'!D25)/'Balance Sheet Clean'!D40</f>
        <v>0.89495943109551701</v>
      </c>
      <c r="E10" s="16">
        <f>('Balance Sheet Clean'!E30+'Balance Sheet Clean'!E24+'Balance Sheet Clean'!E25)/'Balance Sheet Clean'!E40</f>
        <v>0.9831765557163531</v>
      </c>
      <c r="F10" s="16">
        <f>('Balance Sheet Clean'!F30+'Balance Sheet Clean'!F24+'Balance Sheet Clean'!F25)/'Balance Sheet Clean'!F40</f>
        <v>1.1088217703349281</v>
      </c>
      <c r="G10" s="16">
        <f>('Balance Sheet Clean'!G30+'Balance Sheet Clean'!G24+'Balance Sheet Clean'!G25)/'Balance Sheet Clean'!G40</f>
        <v>1.3659566113674291</v>
      </c>
      <c r="H10" s="16">
        <f>('Balance Sheet Clean'!H30+'Balance Sheet Clean'!H24+'Balance Sheet Clean'!H25)/'Balance Sheet Clean'!H40</f>
        <v>1.7123117528334109</v>
      </c>
      <c r="I10" s="16">
        <f>('Balance Sheet Clean'!I30+'Balance Sheet Clean'!I24+'Balance Sheet Clean'!I25)/'Balance Sheet Clean'!I40</f>
        <v>1.9685185185185186</v>
      </c>
      <c r="J10" s="16">
        <f>('Balance Sheet Clean'!J30+'Balance Sheet Clean'!J24+'Balance Sheet Clean'!J25)/'Balance Sheet Clean'!J40</f>
        <v>2.512778626758708</v>
      </c>
      <c r="K10" s="16">
        <f>('Balance Sheet Clean'!K30+'Balance Sheet Clean'!K24+'Balance Sheet Clean'!K25)/'Balance Sheet Clean'!K40</f>
        <v>2.2853919613810474</v>
      </c>
    </row>
    <row r="12" spans="1:11" x14ac:dyDescent="0.25">
      <c r="A12" s="13" t="s">
        <v>117</v>
      </c>
      <c r="B12" s="14">
        <f>'P&amp;L Clean'!B15/'Balance Sheet Clean'!B22</f>
        <v>0.14189147541657249</v>
      </c>
      <c r="C12" s="14">
        <f>'P&amp;L Clean'!C15/'Balance Sheet Clean'!C22</f>
        <v>0.1623263531767255</v>
      </c>
      <c r="D12" s="14">
        <f>'P&amp;L Clean'!D15/'Balance Sheet Clean'!D22</f>
        <v>0.10811013579413309</v>
      </c>
      <c r="E12" s="14">
        <f>'P&amp;L Clean'!E15/'Balance Sheet Clean'!E22</f>
        <v>0.10543783507786571</v>
      </c>
      <c r="F12" s="14">
        <f>'P&amp;L Clean'!F15/'Balance Sheet Clean'!F22</f>
        <v>9.5785908611404139E-2</v>
      </c>
      <c r="G12" s="14">
        <f>'P&amp;L Clean'!G15/'Balance Sheet Clean'!G22</f>
        <v>7.7415428751507781E-2</v>
      </c>
      <c r="H12" s="14">
        <f>'P&amp;L Clean'!H15/'Balance Sheet Clean'!H22</f>
        <v>8.1848082136983871E-2</v>
      </c>
      <c r="I12" s="14">
        <f>'P&amp;L Clean'!I15/'Balance Sheet Clean'!I22</f>
        <v>7.5054428784232838E-2</v>
      </c>
      <c r="J12" s="14">
        <f>'P&amp;L Clean'!J15/'Balance Sheet Clean'!J22</f>
        <v>1.4596796213707108E-2</v>
      </c>
      <c r="K12" s="14">
        <f>'P&amp;L Clean'!K15/'Balance Sheet Clean'!K22</f>
        <v>7.7821572774466455E-2</v>
      </c>
    </row>
    <row r="13" spans="1:11" x14ac:dyDescent="0.25">
      <c r="A13" s="13" t="s">
        <v>118</v>
      </c>
      <c r="B13" s="14">
        <f>'P&amp;L Clean'!B15/'Balance Sheet Clean'!B40</f>
        <v>0.27246902864357297</v>
      </c>
      <c r="C13" s="14">
        <f>'P&amp;L Clean'!C15/'Balance Sheet Clean'!C40</f>
        <v>0.37797362454896699</v>
      </c>
      <c r="D13" s="14">
        <f>'P&amp;L Clean'!D15/'Balance Sheet Clean'!D40</f>
        <v>0.27085617618495661</v>
      </c>
      <c r="E13" s="14">
        <f>'P&amp;L Clean'!E15/'Balance Sheet Clean'!E40</f>
        <v>0.27393873613121078</v>
      </c>
      <c r="F13" s="14">
        <f>'P&amp;L Clean'!F15/'Balance Sheet Clean'!F40</f>
        <v>0.25795454545454544</v>
      </c>
      <c r="G13" s="14">
        <f>'P&amp;L Clean'!G15/'Balance Sheet Clean'!G40</f>
        <v>0.23310755538104119</v>
      </c>
      <c r="H13" s="14">
        <f>'P&amp;L Clean'!H15/'Balance Sheet Clean'!H40</f>
        <v>0.28590281012265178</v>
      </c>
      <c r="I13" s="14">
        <f>'P&amp;L Clean'!I15/'Balance Sheet Clean'!I40</f>
        <v>0.28208440999138673</v>
      </c>
      <c r="J13" s="14">
        <f>'P&amp;L Clean'!J15/'Balance Sheet Clean'!J40</f>
        <v>6.7608157242978348E-2</v>
      </c>
      <c r="K13" s="14">
        <f>'P&amp;L Clean'!K15/'Balance Sheet Clean'!K40</f>
        <v>0.33980480638052263</v>
      </c>
    </row>
    <row r="15" spans="1:11" x14ac:dyDescent="0.25">
      <c r="A15" s="13" t="s">
        <v>119</v>
      </c>
      <c r="B15" s="17">
        <f>'Cash Flow Clean'!B16+'Cash Flow Clean'!B22</f>
        <v>6193</v>
      </c>
      <c r="C15" s="17">
        <f>'Cash Flow Clean'!C16+'Cash Flow Clean'!C22</f>
        <v>7317</v>
      </c>
      <c r="D15" s="17">
        <f>'Cash Flow Clean'!D16+'Cash Flow Clean'!D22</f>
        <v>6554</v>
      </c>
      <c r="E15" s="17">
        <f>'Cash Flow Clean'!E16+'Cash Flow Clean'!E22</f>
        <v>7865</v>
      </c>
      <c r="F15" s="17">
        <f>'Cash Flow Clean'!F16+'Cash Flow Clean'!F22</f>
        <v>7992</v>
      </c>
      <c r="G15" s="17">
        <f>'Cash Flow Clean'!G16+'Cash Flow Clean'!G22</f>
        <v>8209</v>
      </c>
      <c r="H15" s="17">
        <f>'Cash Flow Clean'!H16+'Cash Flow Clean'!H22</f>
        <v>7975</v>
      </c>
      <c r="I15" s="17">
        <f>'Cash Flow Clean'!I16+'Cash Flow Clean'!I22</f>
        <v>6534</v>
      </c>
      <c r="J15" s="17">
        <f>'Cash Flow Clean'!J16+'Cash Flow Clean'!J22</f>
        <v>5255</v>
      </c>
      <c r="K15" s="17">
        <f>'Cash Flow Clean'!K16+'Cash Flow Clean'!K22</f>
        <v>5973</v>
      </c>
    </row>
    <row r="16" spans="1:11" x14ac:dyDescent="0.25">
      <c r="A16" s="13" t="s">
        <v>120</v>
      </c>
      <c r="B16" s="14">
        <f>Ratios!B15/'P&amp;L Clean'!B3</f>
        <v>0.19983865763149403</v>
      </c>
      <c r="C16" s="14">
        <f>Ratios!C15/'P&amp;L Clean'!C3</f>
        <v>0.20834875708306044</v>
      </c>
      <c r="D16" s="14">
        <f>Ratios!D15/'P&amp;L Clean'!D3</f>
        <v>0.14081904516350824</v>
      </c>
      <c r="E16" s="14">
        <f>Ratios!E15/'P&amp;L Clean'!E3</f>
        <v>0.16379615552825041</v>
      </c>
      <c r="F16" s="14">
        <f>Ratios!F15/'P&amp;L Clean'!F3</f>
        <v>0.17057241644256627</v>
      </c>
      <c r="G16" s="14">
        <f>Ratios!G15/'P&amp;L Clean'!G3</f>
        <v>0.17846428105569809</v>
      </c>
      <c r="H16" s="14">
        <f>Ratios!H15/'P&amp;L Clean'!H3</f>
        <v>0.18004695895606629</v>
      </c>
      <c r="I16" s="14">
        <f>Ratios!I15/'P&amp;L Clean'!I3</f>
        <v>0.15608054845567684</v>
      </c>
      <c r="J16" s="14">
        <f>Ratios!J15/'P&amp;L Clean'!J3</f>
        <v>0.14840440553515957</v>
      </c>
      <c r="K16" s="14">
        <f>Ratios!K15/'P&amp;L Clean'!K3</f>
        <v>0.1875</v>
      </c>
    </row>
    <row r="18" spans="1:12" x14ac:dyDescent="0.25">
      <c r="A18" t="s">
        <v>121</v>
      </c>
      <c r="B18" s="17">
        <f>'Balance Sheet Clean'!B41-'Balance Sheet Clean'!B40</f>
        <v>23325</v>
      </c>
      <c r="C18" s="17">
        <f>'Balance Sheet Clean'!C41-'Balance Sheet Clean'!C40</f>
        <v>41604</v>
      </c>
      <c r="D18" s="17">
        <f>'Balance Sheet Clean'!D41-'Balance Sheet Clean'!D40</f>
        <v>48053</v>
      </c>
      <c r="E18" s="17">
        <f>'Balance Sheet Clean'!E41-'Balance Sheet Clean'!E40</f>
        <v>53006</v>
      </c>
      <c r="F18" s="17">
        <f>'Balance Sheet Clean'!F41-'Balance Sheet Clean'!F40</f>
        <v>56615</v>
      </c>
      <c r="G18" s="17">
        <f>'Balance Sheet Clean'!G41-'Balance Sheet Clean'!G40</f>
        <v>61462</v>
      </c>
      <c r="H18" s="17">
        <f>'Balance Sheet Clean'!H41-'Balance Sheet Clean'!H40</f>
        <v>64232</v>
      </c>
      <c r="I18" s="17">
        <f>'Balance Sheet Clean'!I41-'Balance Sheet Clean'!I40</f>
        <v>64050</v>
      </c>
      <c r="J18" s="17">
        <f>'Balance Sheet Clean'!J41-'Balance Sheet Clean'!J40</f>
        <v>68919</v>
      </c>
      <c r="K18" s="17">
        <f>'Balance Sheet Clean'!K41-'Balance Sheet Clean'!K40</f>
        <v>64158</v>
      </c>
      <c r="L18" s="17"/>
    </row>
    <row r="19" spans="1:12" x14ac:dyDescent="0.25">
      <c r="A19" t="s">
        <v>122</v>
      </c>
      <c r="B19" s="17">
        <f>'Balance Sheet Clean'!B40</f>
        <v>25346</v>
      </c>
      <c r="C19" s="17">
        <f>'Balance Sheet Clean'!C40</f>
        <v>31317</v>
      </c>
      <c r="D19" s="17">
        <f>'Balance Sheet Clean'!D40</f>
        <v>31921</v>
      </c>
      <c r="E19" s="17">
        <f>'Balance Sheet Clean'!E40</f>
        <v>33168</v>
      </c>
      <c r="F19" s="17">
        <f>'Balance Sheet Clean'!F40</f>
        <v>33440</v>
      </c>
      <c r="G19" s="17">
        <f>'Balance Sheet Clean'!G40</f>
        <v>30561</v>
      </c>
      <c r="H19" s="17">
        <f>'Balance Sheet Clean'!H40</f>
        <v>25764</v>
      </c>
      <c r="I19" s="17">
        <f>'Balance Sheet Clean'!I40</f>
        <v>23220</v>
      </c>
      <c r="J19" s="17">
        <f>'Balance Sheet Clean'!J40</f>
        <v>18977</v>
      </c>
      <c r="K19" s="17">
        <f>'Balance Sheet Clean'!K40</f>
        <v>19058</v>
      </c>
      <c r="L19" s="1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workbookViewId="0">
      <selection activeCell="B57" sqref="B57"/>
    </sheetView>
  </sheetViews>
  <sheetFormatPr defaultRowHeight="15" x14ac:dyDescent="0.25"/>
  <cols>
    <col min="1" max="1" width="22" bestFit="1" customWidth="1"/>
    <col min="2" max="2" width="134.42578125" bestFit="1" customWidth="1"/>
    <col min="3" max="12" width="9.28515625" bestFit="1" customWidth="1"/>
  </cols>
  <sheetData>
    <row r="1" spans="1:12" s="1" customFormat="1" x14ac:dyDescent="0.25">
      <c r="A1" s="2" t="s">
        <v>0</v>
      </c>
    </row>
    <row r="3" spans="1:12" x14ac:dyDescent="0.25">
      <c r="A3" t="s">
        <v>1</v>
      </c>
    </row>
    <row r="4" spans="1:12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</row>
    <row r="5" spans="1:12" x14ac:dyDescent="0.25">
      <c r="B5" t="s">
        <v>13</v>
      </c>
      <c r="C5" s="3">
        <v>30990</v>
      </c>
      <c r="D5" s="3">
        <v>35119</v>
      </c>
      <c r="E5" s="3">
        <v>46542</v>
      </c>
      <c r="F5" s="3">
        <v>48017</v>
      </c>
      <c r="G5" s="3">
        <v>46854</v>
      </c>
      <c r="H5" s="3">
        <v>45998</v>
      </c>
      <c r="I5" s="3">
        <v>44294</v>
      </c>
      <c r="J5" s="3">
        <v>41863</v>
      </c>
      <c r="K5" s="3">
        <v>35410</v>
      </c>
      <c r="L5" s="3">
        <v>31856</v>
      </c>
    </row>
    <row r="6" spans="1:12" x14ac:dyDescent="0.25">
      <c r="B6" t="s">
        <v>14</v>
      </c>
      <c r="C6" s="3">
        <v>11088</v>
      </c>
      <c r="D6" s="3">
        <v>12693</v>
      </c>
      <c r="E6" s="3">
        <v>18215</v>
      </c>
      <c r="F6" s="3">
        <v>19053</v>
      </c>
      <c r="G6" s="3">
        <v>18421</v>
      </c>
      <c r="H6" s="3">
        <v>17889</v>
      </c>
      <c r="I6" s="3">
        <v>17482</v>
      </c>
      <c r="J6" s="3">
        <v>16465</v>
      </c>
      <c r="K6" s="3">
        <v>13255</v>
      </c>
      <c r="L6" s="3">
        <v>11770</v>
      </c>
    </row>
    <row r="7" spans="1:12" x14ac:dyDescent="0.25">
      <c r="B7" s="4" t="s">
        <v>15</v>
      </c>
      <c r="C7" s="5">
        <v>19902</v>
      </c>
      <c r="D7" s="5">
        <v>22426</v>
      </c>
      <c r="E7" s="5">
        <v>28327</v>
      </c>
      <c r="F7" s="5">
        <v>28964</v>
      </c>
      <c r="G7" s="5">
        <v>28433</v>
      </c>
      <c r="H7" s="5">
        <v>28109</v>
      </c>
      <c r="I7" s="5">
        <v>26812</v>
      </c>
      <c r="J7" s="5">
        <v>25398</v>
      </c>
      <c r="K7" s="5">
        <v>22155</v>
      </c>
      <c r="L7" s="5">
        <v>20086</v>
      </c>
    </row>
    <row r="8" spans="1:12" x14ac:dyDescent="0.25">
      <c r="B8" t="s">
        <v>16</v>
      </c>
      <c r="C8" s="3">
        <v>11358</v>
      </c>
      <c r="D8" s="3">
        <v>13194</v>
      </c>
      <c r="E8" s="3">
        <v>17422</v>
      </c>
      <c r="F8" s="3">
        <v>17738</v>
      </c>
      <c r="G8" s="3">
        <v>17310</v>
      </c>
      <c r="H8" s="3">
        <v>17218</v>
      </c>
      <c r="I8" s="3">
        <v>16427</v>
      </c>
      <c r="J8" s="3">
        <v>15262</v>
      </c>
      <c r="K8" s="3">
        <v>12654</v>
      </c>
      <c r="L8" s="3">
        <v>10307</v>
      </c>
    </row>
    <row r="9" spans="1:12" x14ac:dyDescent="0.25">
      <c r="B9" t="s">
        <v>17</v>
      </c>
      <c r="C9" s="3">
        <v>313</v>
      </c>
      <c r="D9" s="3">
        <v>819</v>
      </c>
      <c r="E9" s="3">
        <v>732</v>
      </c>
      <c r="F9" s="3">
        <v>447</v>
      </c>
      <c r="G9" s="3">
        <v>895</v>
      </c>
      <c r="H9" s="3">
        <v>1183</v>
      </c>
      <c r="I9" s="3">
        <v>1657</v>
      </c>
      <c r="J9" s="3">
        <v>1510</v>
      </c>
      <c r="K9" s="3">
        <v>1902</v>
      </c>
      <c r="L9" s="3">
        <v>1079</v>
      </c>
    </row>
    <row r="10" spans="1:12" x14ac:dyDescent="0.25">
      <c r="B10" s="4" t="s">
        <v>18</v>
      </c>
      <c r="C10" s="5">
        <v>8231</v>
      </c>
      <c r="D10" s="5">
        <v>8413</v>
      </c>
      <c r="E10" s="5">
        <v>10173</v>
      </c>
      <c r="F10" s="5">
        <v>10779</v>
      </c>
      <c r="G10" s="5">
        <v>10228</v>
      </c>
      <c r="H10" s="5">
        <v>9708</v>
      </c>
      <c r="I10" s="5">
        <v>8728</v>
      </c>
      <c r="J10" s="5">
        <v>8626</v>
      </c>
      <c r="K10" s="5">
        <v>7599</v>
      </c>
      <c r="L10" s="5">
        <v>8700</v>
      </c>
    </row>
    <row r="11" spans="1:12" x14ac:dyDescent="0.25">
      <c r="B11" t="s">
        <v>19</v>
      </c>
      <c r="C11" s="3">
        <v>249</v>
      </c>
      <c r="D11" s="3">
        <v>317</v>
      </c>
      <c r="E11" s="3">
        <v>483</v>
      </c>
      <c r="F11" s="3">
        <v>471</v>
      </c>
      <c r="G11" s="3">
        <v>534</v>
      </c>
      <c r="H11" s="3">
        <v>594</v>
      </c>
      <c r="I11" s="3">
        <v>613</v>
      </c>
      <c r="J11" s="3">
        <v>642</v>
      </c>
      <c r="K11" s="3">
        <v>677</v>
      </c>
      <c r="L11" s="3">
        <v>682</v>
      </c>
    </row>
    <row r="12" spans="1:12" x14ac:dyDescent="0.25">
      <c r="B12" t="s">
        <v>20</v>
      </c>
      <c r="C12" s="3">
        <v>355</v>
      </c>
      <c r="D12" s="3">
        <v>733</v>
      </c>
      <c r="E12" s="3">
        <v>417</v>
      </c>
      <c r="F12" s="3">
        <v>397</v>
      </c>
      <c r="G12" s="3">
        <v>463</v>
      </c>
      <c r="H12" s="3">
        <v>483</v>
      </c>
      <c r="I12" s="3">
        <v>856</v>
      </c>
      <c r="J12" s="3">
        <v>733</v>
      </c>
      <c r="K12" s="3">
        <v>841</v>
      </c>
      <c r="L12" s="3">
        <v>919</v>
      </c>
    </row>
    <row r="13" spans="1:12" x14ac:dyDescent="0.25">
      <c r="B13" t="s">
        <v>21</v>
      </c>
      <c r="C13" s="3">
        <v>781</v>
      </c>
      <c r="D13" s="3">
        <v>1025</v>
      </c>
      <c r="E13" s="3">
        <v>690</v>
      </c>
      <c r="F13" s="3">
        <v>819</v>
      </c>
      <c r="G13" s="3">
        <v>602</v>
      </c>
      <c r="H13" s="3">
        <v>769</v>
      </c>
      <c r="I13" s="3">
        <v>489</v>
      </c>
      <c r="J13" s="3">
        <v>835</v>
      </c>
      <c r="K13" s="3">
        <v>1071</v>
      </c>
      <c r="L13" s="3">
        <v>1008</v>
      </c>
    </row>
    <row r="14" spans="1:12" x14ac:dyDescent="0.25">
      <c r="B14" t="s">
        <v>22</v>
      </c>
      <c r="C14" s="3">
        <v>40</v>
      </c>
      <c r="D14" s="3">
        <v>5185</v>
      </c>
      <c r="E14" s="3">
        <v>529</v>
      </c>
      <c r="F14" s="3">
        <v>137</v>
      </c>
      <c r="G14" s="3">
        <v>576</v>
      </c>
      <c r="H14" s="3">
        <v>-1263</v>
      </c>
      <c r="I14" s="3">
        <v>631</v>
      </c>
      <c r="J14" s="3">
        <v>-1234</v>
      </c>
      <c r="K14" s="3">
        <v>-1764</v>
      </c>
      <c r="L14" s="3">
        <v>-1121</v>
      </c>
    </row>
    <row r="15" spans="1:12" x14ac:dyDescent="0.25">
      <c r="B15" s="4" t="s">
        <v>23</v>
      </c>
      <c r="C15" s="5">
        <v>8946</v>
      </c>
      <c r="D15" s="5">
        <v>14207</v>
      </c>
      <c r="E15" s="5">
        <v>11458</v>
      </c>
      <c r="F15" s="5">
        <v>11809</v>
      </c>
      <c r="G15" s="5">
        <v>11477</v>
      </c>
      <c r="H15" s="5">
        <v>9325</v>
      </c>
      <c r="I15" s="5">
        <v>9605</v>
      </c>
      <c r="J15" s="5">
        <v>8136</v>
      </c>
      <c r="K15" s="5">
        <v>6742</v>
      </c>
      <c r="L15" s="5">
        <v>8350</v>
      </c>
    </row>
    <row r="16" spans="1:12" x14ac:dyDescent="0.25">
      <c r="B16" t="s">
        <v>24</v>
      </c>
      <c r="C16" s="3">
        <v>2040</v>
      </c>
      <c r="D16" s="3">
        <v>2370</v>
      </c>
      <c r="E16" s="3">
        <v>2812</v>
      </c>
      <c r="F16" s="3">
        <v>2723</v>
      </c>
      <c r="G16" s="3">
        <v>2851</v>
      </c>
      <c r="H16" s="3">
        <v>2201</v>
      </c>
      <c r="I16" s="3">
        <v>2239</v>
      </c>
      <c r="J16" s="3">
        <v>1586</v>
      </c>
      <c r="K16" s="3">
        <v>5560</v>
      </c>
      <c r="L16" s="3">
        <v>1623</v>
      </c>
    </row>
    <row r="17" spans="1:12" x14ac:dyDescent="0.25">
      <c r="B17" s="4" t="s">
        <v>25</v>
      </c>
      <c r="C17" s="5">
        <v>6906</v>
      </c>
      <c r="D17" s="5">
        <v>11837</v>
      </c>
      <c r="E17" s="5">
        <v>8646</v>
      </c>
      <c r="F17" s="5">
        <v>9086</v>
      </c>
      <c r="G17" s="5">
        <v>8626</v>
      </c>
      <c r="H17" s="5">
        <v>7124</v>
      </c>
      <c r="I17" s="5">
        <v>7366</v>
      </c>
      <c r="J17" s="5">
        <v>6550</v>
      </c>
      <c r="K17" s="5">
        <v>1283</v>
      </c>
      <c r="L17" s="5">
        <v>6476</v>
      </c>
    </row>
    <row r="18" spans="1:12" x14ac:dyDescent="0.25">
      <c r="B18" t="s">
        <v>26</v>
      </c>
      <c r="C18" s="3">
        <v>82</v>
      </c>
      <c r="D18" s="3">
        <v>50</v>
      </c>
      <c r="E18" s="3">
        <v>62</v>
      </c>
      <c r="F18" s="3">
        <v>67</v>
      </c>
      <c r="G18" s="3">
        <v>42</v>
      </c>
      <c r="H18" s="3">
        <v>26</v>
      </c>
      <c r="I18" s="3">
        <v>15</v>
      </c>
      <c r="J18" s="3">
        <v>23</v>
      </c>
      <c r="K18" s="3">
        <v>35</v>
      </c>
      <c r="L18" s="3">
        <v>42</v>
      </c>
    </row>
    <row r="19" spans="1:12" x14ac:dyDescent="0.25">
      <c r="B19" t="s">
        <v>27</v>
      </c>
      <c r="I19" s="3">
        <v>7366</v>
      </c>
      <c r="J19" s="3">
        <v>6550</v>
      </c>
      <c r="K19" s="3">
        <v>1182</v>
      </c>
      <c r="L19" s="3">
        <v>6727</v>
      </c>
    </row>
    <row r="20" spans="1:12" x14ac:dyDescent="0.25">
      <c r="B20" t="s">
        <v>28</v>
      </c>
      <c r="I20" s="3">
        <v>0</v>
      </c>
      <c r="J20" s="3">
        <v>0</v>
      </c>
      <c r="K20" s="3">
        <v>101</v>
      </c>
      <c r="L20" s="3">
        <v>-251</v>
      </c>
    </row>
    <row r="21" spans="1:12" x14ac:dyDescent="0.25">
      <c r="B21" s="4" t="s">
        <v>29</v>
      </c>
      <c r="C21" s="5">
        <v>6824</v>
      </c>
      <c r="D21" s="5">
        <v>11787</v>
      </c>
      <c r="E21" s="5">
        <v>8584</v>
      </c>
      <c r="F21" s="5">
        <v>9019</v>
      </c>
      <c r="G21" s="5">
        <v>8584</v>
      </c>
      <c r="H21" s="5">
        <v>7098</v>
      </c>
      <c r="I21" s="5">
        <v>7351</v>
      </c>
      <c r="J21" s="5">
        <v>6527</v>
      </c>
      <c r="K21" s="5">
        <v>1248</v>
      </c>
      <c r="L21" s="5">
        <v>6434</v>
      </c>
    </row>
    <row r="23" spans="1:12" x14ac:dyDescent="0.25">
      <c r="A23" t="s">
        <v>30</v>
      </c>
    </row>
    <row r="24" spans="1:12" x14ac:dyDescent="0.25"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L24" t="s">
        <v>12</v>
      </c>
    </row>
    <row r="25" spans="1:12" x14ac:dyDescent="0.25">
      <c r="B25" t="s">
        <v>31</v>
      </c>
    </row>
    <row r="26" spans="1:12" x14ac:dyDescent="0.25">
      <c r="B26" t="s">
        <v>32</v>
      </c>
      <c r="C26" s="3">
        <v>7021</v>
      </c>
      <c r="D26" s="3">
        <v>8517</v>
      </c>
      <c r="E26" s="3">
        <v>12803</v>
      </c>
      <c r="F26" s="3">
        <v>8442</v>
      </c>
      <c r="G26" s="3">
        <v>10414</v>
      </c>
      <c r="H26" s="3">
        <v>8958</v>
      </c>
      <c r="I26" s="3">
        <v>7309</v>
      </c>
      <c r="J26" s="3">
        <v>8555</v>
      </c>
      <c r="K26" s="3">
        <v>6006</v>
      </c>
      <c r="L26" s="3">
        <v>8926</v>
      </c>
    </row>
    <row r="27" spans="1:12" x14ac:dyDescent="0.25">
      <c r="B27" t="s">
        <v>33</v>
      </c>
      <c r="C27" s="3">
        <v>2130</v>
      </c>
      <c r="D27" s="3">
        <v>2682</v>
      </c>
      <c r="E27" s="3">
        <v>1088</v>
      </c>
      <c r="F27" s="3">
        <v>5017</v>
      </c>
      <c r="G27" s="3">
        <v>6707</v>
      </c>
      <c r="H27" s="3">
        <v>9052</v>
      </c>
      <c r="I27" s="3">
        <v>8322</v>
      </c>
      <c r="J27" s="3">
        <v>9595</v>
      </c>
      <c r="K27" s="3">
        <v>9352</v>
      </c>
      <c r="L27" s="3">
        <v>2025</v>
      </c>
    </row>
    <row r="28" spans="1:12" x14ac:dyDescent="0.25">
      <c r="B28" s="4" t="s">
        <v>34</v>
      </c>
      <c r="C28" s="5">
        <v>9151</v>
      </c>
      <c r="D28" s="5">
        <v>11199</v>
      </c>
      <c r="E28" s="5">
        <v>13891</v>
      </c>
      <c r="F28" s="5">
        <v>13459</v>
      </c>
      <c r="G28" s="5">
        <v>17121</v>
      </c>
      <c r="H28" s="5">
        <v>18010</v>
      </c>
      <c r="I28" s="5">
        <v>15631</v>
      </c>
      <c r="J28" s="5">
        <v>18150</v>
      </c>
      <c r="K28" s="5">
        <v>15358</v>
      </c>
      <c r="L28" s="5">
        <v>10951</v>
      </c>
    </row>
    <row r="29" spans="1:12" x14ac:dyDescent="0.25">
      <c r="B29" t="s">
        <v>35</v>
      </c>
      <c r="C29" s="3">
        <v>62</v>
      </c>
      <c r="D29" s="3">
        <v>138</v>
      </c>
      <c r="E29" s="3">
        <v>144</v>
      </c>
      <c r="F29" s="3">
        <v>3092</v>
      </c>
      <c r="G29" s="3">
        <v>3147</v>
      </c>
      <c r="H29" s="3">
        <v>3665</v>
      </c>
      <c r="I29" s="3">
        <v>4269</v>
      </c>
      <c r="J29" s="3">
        <v>4051</v>
      </c>
      <c r="K29" s="3">
        <v>5317</v>
      </c>
      <c r="L29" s="3">
        <v>5013</v>
      </c>
    </row>
    <row r="30" spans="1:12" x14ac:dyDescent="0.25">
      <c r="B30" t="s">
        <v>36</v>
      </c>
      <c r="C30" s="3">
        <v>3758</v>
      </c>
      <c r="D30" s="3">
        <v>4430</v>
      </c>
      <c r="E30" s="3">
        <v>4920</v>
      </c>
      <c r="F30" s="3">
        <v>4759</v>
      </c>
      <c r="G30" s="3">
        <v>4873</v>
      </c>
      <c r="H30" s="3">
        <v>4466</v>
      </c>
      <c r="I30" s="3">
        <v>3941</v>
      </c>
      <c r="J30" s="3">
        <v>3856</v>
      </c>
      <c r="K30" s="3">
        <v>3667</v>
      </c>
      <c r="L30" s="3">
        <v>3396</v>
      </c>
    </row>
    <row r="31" spans="1:12" x14ac:dyDescent="0.25">
      <c r="B31" t="s">
        <v>37</v>
      </c>
      <c r="C31" s="3">
        <v>2354</v>
      </c>
      <c r="D31" s="3">
        <v>2650</v>
      </c>
      <c r="E31" s="3">
        <v>3092</v>
      </c>
      <c r="F31" s="3">
        <v>3264</v>
      </c>
      <c r="G31" s="3">
        <v>3277</v>
      </c>
      <c r="H31" s="3">
        <v>3100</v>
      </c>
      <c r="I31" s="3">
        <v>2902</v>
      </c>
      <c r="J31" s="3">
        <v>2675</v>
      </c>
      <c r="K31" s="3">
        <v>2655</v>
      </c>
      <c r="L31" s="3">
        <v>2766</v>
      </c>
    </row>
    <row r="32" spans="1:12" x14ac:dyDescent="0.25">
      <c r="B32" t="s">
        <v>38</v>
      </c>
      <c r="C32" s="3">
        <v>2226</v>
      </c>
      <c r="D32" s="3">
        <v>3162</v>
      </c>
      <c r="E32" s="3">
        <v>3450</v>
      </c>
      <c r="F32" s="3">
        <v>2781</v>
      </c>
      <c r="G32" s="3">
        <v>2886</v>
      </c>
      <c r="H32" s="3">
        <v>3066</v>
      </c>
      <c r="I32" s="3">
        <v>2752</v>
      </c>
      <c r="J32" s="3">
        <v>2481</v>
      </c>
      <c r="K32" s="3">
        <v>2000</v>
      </c>
      <c r="L32" s="3">
        <v>1962</v>
      </c>
    </row>
    <row r="33" spans="2:12" x14ac:dyDescent="0.25">
      <c r="B33" t="s">
        <v>39</v>
      </c>
      <c r="E33" s="3">
        <v>0</v>
      </c>
      <c r="F33" s="3">
        <v>2973</v>
      </c>
      <c r="G33" s="3">
        <v>0</v>
      </c>
      <c r="H33" s="3">
        <v>679</v>
      </c>
      <c r="I33" s="3">
        <v>3900</v>
      </c>
      <c r="J33" s="3">
        <v>0</v>
      </c>
      <c r="K33" s="3">
        <v>7329</v>
      </c>
      <c r="L33" s="3">
        <v>6546</v>
      </c>
    </row>
    <row r="34" spans="2:12" x14ac:dyDescent="0.25">
      <c r="B34" t="s">
        <v>39</v>
      </c>
      <c r="J34" s="3">
        <v>2797</v>
      </c>
      <c r="K34" s="3">
        <v>219</v>
      </c>
      <c r="L34" s="3">
        <v>0</v>
      </c>
    </row>
    <row r="35" spans="2:12" x14ac:dyDescent="0.25">
      <c r="B35" s="4" t="s">
        <v>40</v>
      </c>
      <c r="C35" s="5">
        <v>17551</v>
      </c>
      <c r="D35" s="5">
        <v>21579</v>
      </c>
      <c r="E35" s="5">
        <v>25497</v>
      </c>
      <c r="F35" s="5">
        <v>30328</v>
      </c>
      <c r="G35" s="5">
        <v>31304</v>
      </c>
      <c r="H35" s="5">
        <v>32986</v>
      </c>
      <c r="I35" s="5">
        <v>33395</v>
      </c>
      <c r="J35" s="5">
        <v>34010</v>
      </c>
      <c r="K35" s="5">
        <v>36545</v>
      </c>
      <c r="L35" s="5">
        <v>30634</v>
      </c>
    </row>
    <row r="36" spans="2:12" x14ac:dyDescent="0.25">
      <c r="B36" t="s">
        <v>41</v>
      </c>
      <c r="C36" s="3">
        <v>6217</v>
      </c>
      <c r="D36" s="3">
        <v>6954</v>
      </c>
      <c r="E36" s="3">
        <v>7233</v>
      </c>
      <c r="F36" s="3">
        <v>9216</v>
      </c>
      <c r="G36" s="3">
        <v>10393</v>
      </c>
      <c r="H36" s="3">
        <v>9947</v>
      </c>
      <c r="I36" s="3">
        <v>12318</v>
      </c>
      <c r="J36" s="3">
        <v>16260</v>
      </c>
      <c r="K36" s="3">
        <v>20856</v>
      </c>
      <c r="L36" s="3">
        <v>19407</v>
      </c>
    </row>
    <row r="37" spans="2:12" x14ac:dyDescent="0.25">
      <c r="B37" t="s">
        <v>42</v>
      </c>
      <c r="C37" s="3">
        <v>538</v>
      </c>
      <c r="D37" s="3">
        <v>631</v>
      </c>
      <c r="E37" s="3">
        <v>1141</v>
      </c>
      <c r="F37" s="3">
        <v>1232</v>
      </c>
      <c r="G37" s="3">
        <v>1119</v>
      </c>
      <c r="H37" s="3">
        <v>3678</v>
      </c>
      <c r="I37" s="3">
        <v>3470</v>
      </c>
      <c r="J37" s="3">
        <v>989</v>
      </c>
      <c r="K37" s="3">
        <v>1096</v>
      </c>
      <c r="L37" s="3">
        <v>867</v>
      </c>
    </row>
    <row r="38" spans="2:12" x14ac:dyDescent="0.25">
      <c r="B38" t="s">
        <v>43</v>
      </c>
      <c r="C38" s="3">
        <v>1976</v>
      </c>
      <c r="D38" s="3">
        <v>2121</v>
      </c>
      <c r="E38" s="3">
        <v>3495</v>
      </c>
      <c r="F38" s="3">
        <v>3585</v>
      </c>
      <c r="G38" s="3">
        <v>4661</v>
      </c>
      <c r="H38" s="3">
        <v>4407</v>
      </c>
      <c r="I38" s="3">
        <v>4110</v>
      </c>
      <c r="J38" s="3">
        <v>4248</v>
      </c>
      <c r="K38" s="3">
        <v>4230</v>
      </c>
      <c r="L38" s="3">
        <v>4139</v>
      </c>
    </row>
    <row r="39" spans="2:12" x14ac:dyDescent="0.25">
      <c r="B39" t="s">
        <v>44</v>
      </c>
      <c r="C39" s="3">
        <v>9561</v>
      </c>
      <c r="D39" s="3">
        <v>14727</v>
      </c>
      <c r="E39" s="3">
        <v>14939</v>
      </c>
      <c r="F39" s="3">
        <v>14476</v>
      </c>
      <c r="G39" s="3">
        <v>14967</v>
      </c>
      <c r="H39" s="3">
        <v>14633</v>
      </c>
      <c r="I39" s="3">
        <v>12571</v>
      </c>
      <c r="J39" s="3">
        <v>10635</v>
      </c>
      <c r="K39" s="3">
        <v>8203</v>
      </c>
      <c r="L39" s="3">
        <v>8232</v>
      </c>
    </row>
    <row r="40" spans="2:12" x14ac:dyDescent="0.25">
      <c r="B40" t="s">
        <v>45</v>
      </c>
      <c r="K40" s="3">
        <v>330</v>
      </c>
      <c r="L40" s="3">
        <v>2667</v>
      </c>
    </row>
    <row r="41" spans="2:12" x14ac:dyDescent="0.25">
      <c r="B41" t="s">
        <v>46</v>
      </c>
      <c r="C41" s="3">
        <v>6183</v>
      </c>
      <c r="D41" s="3">
        <v>6356</v>
      </c>
      <c r="E41" s="3">
        <v>6430</v>
      </c>
      <c r="F41" s="3">
        <v>6527</v>
      </c>
      <c r="G41" s="3">
        <v>6744</v>
      </c>
      <c r="H41" s="3">
        <v>6533</v>
      </c>
      <c r="I41" s="3">
        <v>5989</v>
      </c>
      <c r="J41" s="3">
        <v>6097</v>
      </c>
      <c r="K41" s="3">
        <v>6729</v>
      </c>
      <c r="L41" s="3">
        <v>6682</v>
      </c>
    </row>
    <row r="42" spans="2:12" x14ac:dyDescent="0.25">
      <c r="B42" t="s">
        <v>47</v>
      </c>
      <c r="C42" s="3">
        <v>1953</v>
      </c>
      <c r="D42" s="3">
        <v>7511</v>
      </c>
      <c r="E42" s="3">
        <v>7770</v>
      </c>
      <c r="F42" s="3">
        <v>7405</v>
      </c>
      <c r="G42" s="3">
        <v>7415</v>
      </c>
      <c r="H42" s="3">
        <v>6689</v>
      </c>
      <c r="I42" s="3">
        <v>6000</v>
      </c>
      <c r="J42" s="3">
        <v>3676</v>
      </c>
      <c r="K42" s="3">
        <v>138</v>
      </c>
      <c r="L42" s="3">
        <v>51</v>
      </c>
    </row>
    <row r="43" spans="2:12" x14ac:dyDescent="0.25">
      <c r="B43" t="s">
        <v>48</v>
      </c>
      <c r="C43" s="3">
        <v>4224</v>
      </c>
      <c r="D43" s="3">
        <v>11665</v>
      </c>
      <c r="E43" s="3">
        <v>12219</v>
      </c>
      <c r="F43" s="3">
        <v>12255</v>
      </c>
      <c r="G43" s="3">
        <v>12312</v>
      </c>
      <c r="H43" s="3">
        <v>12100</v>
      </c>
      <c r="I43" s="3">
        <v>11289</v>
      </c>
      <c r="J43" s="3">
        <v>10629</v>
      </c>
      <c r="K43" s="3">
        <v>9401</v>
      </c>
      <c r="L43" s="3">
        <v>10263</v>
      </c>
    </row>
    <row r="44" spans="2:12" x14ac:dyDescent="0.25">
      <c r="B44" t="s">
        <v>49</v>
      </c>
      <c r="C44" s="3">
        <v>468</v>
      </c>
      <c r="D44" s="3">
        <v>1377</v>
      </c>
      <c r="E44" s="3">
        <v>1250</v>
      </c>
      <c r="F44" s="3">
        <v>1150</v>
      </c>
      <c r="G44" s="3">
        <v>1140</v>
      </c>
      <c r="H44" s="3">
        <v>1050</v>
      </c>
      <c r="I44" s="3">
        <v>854</v>
      </c>
      <c r="J44" s="3">
        <v>726</v>
      </c>
      <c r="K44" s="3">
        <v>368</v>
      </c>
      <c r="L44" s="3">
        <v>274</v>
      </c>
    </row>
    <row r="45" spans="2:12" x14ac:dyDescent="0.25">
      <c r="B45" s="4" t="s">
        <v>50</v>
      </c>
      <c r="C45" s="5">
        <v>48671</v>
      </c>
      <c r="D45" s="5">
        <v>72921</v>
      </c>
      <c r="E45" s="5">
        <v>79974</v>
      </c>
      <c r="F45" s="5">
        <v>86174</v>
      </c>
      <c r="G45" s="5">
        <v>90055</v>
      </c>
      <c r="H45" s="5">
        <v>92023</v>
      </c>
      <c r="I45" s="5">
        <v>89996</v>
      </c>
      <c r="J45" s="5">
        <v>87270</v>
      </c>
      <c r="K45" s="5">
        <v>87896</v>
      </c>
      <c r="L45" s="5">
        <v>83216</v>
      </c>
    </row>
    <row r="46" spans="2:12" x14ac:dyDescent="0.25">
      <c r="B46" t="s">
        <v>51</v>
      </c>
    </row>
    <row r="47" spans="2:12" x14ac:dyDescent="0.25">
      <c r="B47" t="s">
        <v>52</v>
      </c>
      <c r="C47" s="3">
        <v>6657</v>
      </c>
      <c r="D47" s="3">
        <v>8859</v>
      </c>
      <c r="E47" s="3">
        <v>9009</v>
      </c>
      <c r="F47" s="3">
        <v>8680</v>
      </c>
      <c r="G47" s="3">
        <v>9577</v>
      </c>
      <c r="H47" s="3">
        <v>9234</v>
      </c>
      <c r="I47" s="3">
        <v>9660</v>
      </c>
      <c r="J47" s="3">
        <v>9490</v>
      </c>
      <c r="K47" s="3">
        <v>8748</v>
      </c>
      <c r="L47" s="3">
        <v>8932</v>
      </c>
    </row>
    <row r="48" spans="2:12" x14ac:dyDescent="0.25">
      <c r="B48" t="s">
        <v>53</v>
      </c>
      <c r="C48" s="3">
        <v>6749</v>
      </c>
      <c r="D48" s="3">
        <v>8100</v>
      </c>
      <c r="E48" s="3">
        <v>12871</v>
      </c>
      <c r="F48" s="3">
        <v>16297</v>
      </c>
      <c r="G48" s="3">
        <v>16901</v>
      </c>
      <c r="H48" s="3">
        <v>19130</v>
      </c>
      <c r="I48" s="3">
        <v>13129</v>
      </c>
      <c r="J48" s="3">
        <v>12498</v>
      </c>
      <c r="K48" s="3">
        <v>13205</v>
      </c>
      <c r="L48" s="3">
        <v>13194</v>
      </c>
    </row>
    <row r="49" spans="2:12" x14ac:dyDescent="0.25">
      <c r="B49" t="s">
        <v>54</v>
      </c>
      <c r="C49" s="3">
        <v>51</v>
      </c>
      <c r="D49" s="3">
        <v>1276</v>
      </c>
      <c r="E49" s="3">
        <v>2041</v>
      </c>
      <c r="F49" s="3">
        <v>1577</v>
      </c>
      <c r="G49" s="3">
        <v>1024</v>
      </c>
      <c r="H49" s="3">
        <v>3552</v>
      </c>
      <c r="I49" s="3">
        <v>2676</v>
      </c>
      <c r="J49" s="3">
        <v>3527</v>
      </c>
      <c r="K49" s="3">
        <v>3298</v>
      </c>
      <c r="L49" s="3">
        <v>4997</v>
      </c>
    </row>
    <row r="50" spans="2:12" x14ac:dyDescent="0.25">
      <c r="B50" t="s">
        <v>55</v>
      </c>
      <c r="C50" s="3">
        <v>264</v>
      </c>
      <c r="D50" s="3">
        <v>273</v>
      </c>
      <c r="E50" s="3">
        <v>362</v>
      </c>
      <c r="F50" s="3">
        <v>471</v>
      </c>
      <c r="G50" s="3">
        <v>309</v>
      </c>
      <c r="H50" s="3">
        <v>400</v>
      </c>
      <c r="I50" s="3">
        <v>331</v>
      </c>
      <c r="J50" s="3">
        <v>307</v>
      </c>
      <c r="K50" s="3">
        <v>410</v>
      </c>
      <c r="L50" s="3">
        <v>378</v>
      </c>
    </row>
    <row r="51" spans="2:12" x14ac:dyDescent="0.25">
      <c r="B51" t="s">
        <v>56</v>
      </c>
      <c r="E51" s="3">
        <v>0</v>
      </c>
      <c r="F51" s="3">
        <v>796</v>
      </c>
      <c r="G51" s="3">
        <v>0</v>
      </c>
      <c r="H51" s="3">
        <v>58</v>
      </c>
      <c r="I51" s="3">
        <v>1133</v>
      </c>
      <c r="J51" s="3">
        <v>710</v>
      </c>
      <c r="K51" s="3">
        <v>37</v>
      </c>
      <c r="L51" s="3">
        <v>0</v>
      </c>
    </row>
    <row r="52" spans="2:12" x14ac:dyDescent="0.25">
      <c r="B52" t="s">
        <v>57</v>
      </c>
      <c r="J52" s="3">
        <v>0</v>
      </c>
      <c r="K52" s="3">
        <v>1496</v>
      </c>
      <c r="L52" s="3">
        <v>1722</v>
      </c>
    </row>
    <row r="53" spans="2:12" x14ac:dyDescent="0.25">
      <c r="B53" s="4" t="s">
        <v>58</v>
      </c>
      <c r="C53" s="5">
        <v>13721</v>
      </c>
      <c r="D53" s="5">
        <v>18508</v>
      </c>
      <c r="E53" s="5">
        <v>24283</v>
      </c>
      <c r="F53" s="5">
        <v>27821</v>
      </c>
      <c r="G53" s="5">
        <v>27811</v>
      </c>
      <c r="H53" s="5">
        <v>32374</v>
      </c>
      <c r="I53" s="5">
        <v>26929</v>
      </c>
      <c r="J53" s="5">
        <v>26532</v>
      </c>
      <c r="K53" s="5">
        <v>27194</v>
      </c>
      <c r="L53" s="5">
        <v>29223</v>
      </c>
    </row>
    <row r="54" spans="2:12" x14ac:dyDescent="0.25">
      <c r="B54" t="s">
        <v>59</v>
      </c>
      <c r="C54" s="3">
        <v>5059</v>
      </c>
      <c r="D54" s="3">
        <v>14041</v>
      </c>
      <c r="E54" s="3">
        <v>13656</v>
      </c>
      <c r="F54" s="3">
        <v>14736</v>
      </c>
      <c r="G54" s="3">
        <v>19154</v>
      </c>
      <c r="H54" s="3">
        <v>19063</v>
      </c>
      <c r="I54" s="3">
        <v>28311</v>
      </c>
      <c r="J54" s="3">
        <v>29684</v>
      </c>
      <c r="K54" s="3">
        <v>31182</v>
      </c>
      <c r="L54" s="3">
        <v>25364</v>
      </c>
    </row>
    <row r="55" spans="2:12" x14ac:dyDescent="0.25">
      <c r="B55" t="s">
        <v>60</v>
      </c>
      <c r="C55" s="3">
        <v>2965</v>
      </c>
      <c r="D55" s="3">
        <v>4794</v>
      </c>
      <c r="E55" s="3">
        <v>5420</v>
      </c>
      <c r="F55" s="3">
        <v>5468</v>
      </c>
      <c r="G55" s="3">
        <v>3498</v>
      </c>
      <c r="H55" s="3">
        <v>4389</v>
      </c>
      <c r="I55" s="3">
        <v>4301</v>
      </c>
      <c r="J55" s="3">
        <v>4081</v>
      </c>
      <c r="K55" s="3">
        <v>8021</v>
      </c>
      <c r="L55" s="3">
        <v>7638</v>
      </c>
    </row>
    <row r="56" spans="2:12" x14ac:dyDescent="0.25">
      <c r="B56" t="s">
        <v>61</v>
      </c>
      <c r="C56" s="3">
        <v>1580</v>
      </c>
      <c r="D56" s="3">
        <v>4261</v>
      </c>
      <c r="E56" s="3">
        <v>4694</v>
      </c>
      <c r="F56" s="3">
        <v>4981</v>
      </c>
      <c r="G56" s="3">
        <v>6152</v>
      </c>
      <c r="H56" s="3">
        <v>5636</v>
      </c>
      <c r="I56" s="3">
        <v>4691</v>
      </c>
      <c r="J56" s="3">
        <v>3753</v>
      </c>
      <c r="K56" s="3">
        <v>2522</v>
      </c>
      <c r="L56" s="3">
        <v>1933</v>
      </c>
    </row>
    <row r="57" spans="2:12" x14ac:dyDescent="0.25">
      <c r="B57" t="s">
        <v>62</v>
      </c>
      <c r="C57" s="3">
        <v>880</v>
      </c>
      <c r="D57" s="3">
        <v>880</v>
      </c>
      <c r="E57" s="3">
        <v>1760</v>
      </c>
      <c r="F57" s="3">
        <v>1760</v>
      </c>
      <c r="G57" s="3">
        <v>1760</v>
      </c>
      <c r="H57" s="3">
        <v>1760</v>
      </c>
      <c r="I57" s="3">
        <v>1760</v>
      </c>
      <c r="J57" s="3">
        <v>1760</v>
      </c>
      <c r="K57" s="3">
        <v>1760</v>
      </c>
      <c r="L57" s="3">
        <v>1760</v>
      </c>
    </row>
    <row r="58" spans="2:12" x14ac:dyDescent="0.25">
      <c r="B58" t="s">
        <v>63</v>
      </c>
      <c r="C58" s="3">
        <v>8537</v>
      </c>
      <c r="D58" s="3">
        <v>10057</v>
      </c>
      <c r="E58" s="3">
        <v>10332</v>
      </c>
      <c r="F58" s="3">
        <v>11379</v>
      </c>
      <c r="G58" s="3">
        <v>12276</v>
      </c>
      <c r="H58" s="3">
        <v>13154</v>
      </c>
      <c r="I58" s="3">
        <v>14016</v>
      </c>
      <c r="J58" s="3">
        <v>14993</v>
      </c>
      <c r="K58" s="3">
        <v>15864</v>
      </c>
      <c r="L58" s="3">
        <v>16520</v>
      </c>
    </row>
    <row r="59" spans="2:12" x14ac:dyDescent="0.25">
      <c r="B59" t="s">
        <v>64</v>
      </c>
      <c r="C59" s="3">
        <v>41537</v>
      </c>
      <c r="D59" s="3">
        <v>49278</v>
      </c>
      <c r="E59" s="3">
        <v>53621</v>
      </c>
      <c r="F59" s="3">
        <v>58045</v>
      </c>
      <c r="G59" s="3">
        <v>61660</v>
      </c>
      <c r="H59" s="3">
        <v>63408</v>
      </c>
      <c r="I59" s="3">
        <v>65018</v>
      </c>
      <c r="J59" s="3">
        <v>65502</v>
      </c>
      <c r="K59" s="3">
        <v>60430</v>
      </c>
      <c r="L59" s="3">
        <v>63234</v>
      </c>
    </row>
    <row r="60" spans="2:12" x14ac:dyDescent="0.25">
      <c r="B60" t="s">
        <v>65</v>
      </c>
      <c r="C60" s="3">
        <v>-757</v>
      </c>
      <c r="D60" s="3">
        <v>-1450</v>
      </c>
      <c r="E60" s="3">
        <v>-2774</v>
      </c>
      <c r="F60" s="3">
        <v>-3385</v>
      </c>
      <c r="G60" s="3">
        <v>-3432</v>
      </c>
      <c r="H60" s="3">
        <v>-5777</v>
      </c>
      <c r="I60" s="3">
        <v>-10174</v>
      </c>
      <c r="J60" s="3">
        <v>-11205</v>
      </c>
      <c r="K60" s="3">
        <v>-10305</v>
      </c>
      <c r="L60" s="3">
        <v>-12814</v>
      </c>
    </row>
    <row r="61" spans="2:12" x14ac:dyDescent="0.25">
      <c r="B61" t="s">
        <v>66</v>
      </c>
      <c r="C61" s="3">
        <v>-25398</v>
      </c>
      <c r="D61" s="3">
        <v>-27762</v>
      </c>
      <c r="E61" s="3">
        <v>-31304</v>
      </c>
      <c r="F61" s="3">
        <v>-35009</v>
      </c>
      <c r="G61" s="3">
        <v>-39091</v>
      </c>
      <c r="H61" s="3">
        <v>-42225</v>
      </c>
      <c r="I61" s="3">
        <v>-45066</v>
      </c>
      <c r="J61" s="3">
        <v>-47988</v>
      </c>
      <c r="K61" s="3">
        <v>-50677</v>
      </c>
      <c r="L61" s="3">
        <v>-51719</v>
      </c>
    </row>
    <row r="62" spans="2:12" x14ac:dyDescent="0.25">
      <c r="B62" s="4" t="s">
        <v>67</v>
      </c>
      <c r="C62" s="5">
        <v>24799</v>
      </c>
      <c r="D62" s="5">
        <v>31003</v>
      </c>
      <c r="E62" s="5">
        <v>31635</v>
      </c>
      <c r="F62" s="5">
        <v>32790</v>
      </c>
      <c r="G62" s="5">
        <v>33173</v>
      </c>
      <c r="H62" s="5">
        <v>30320</v>
      </c>
      <c r="I62" s="5">
        <v>25554</v>
      </c>
      <c r="J62" s="5">
        <v>23062</v>
      </c>
      <c r="K62" s="5">
        <v>17072</v>
      </c>
      <c r="L62" s="5">
        <v>16981</v>
      </c>
    </row>
    <row r="63" spans="2:12" x14ac:dyDescent="0.25">
      <c r="B63" t="s">
        <v>68</v>
      </c>
      <c r="C63" s="3">
        <v>547</v>
      </c>
      <c r="D63" s="3">
        <v>314</v>
      </c>
      <c r="E63" s="3">
        <v>286</v>
      </c>
      <c r="F63" s="3">
        <v>378</v>
      </c>
      <c r="G63" s="3">
        <v>267</v>
      </c>
      <c r="H63" s="3">
        <v>241</v>
      </c>
      <c r="I63" s="3">
        <v>210</v>
      </c>
      <c r="J63" s="3">
        <v>158</v>
      </c>
      <c r="K63" s="3">
        <v>1905</v>
      </c>
      <c r="L63" s="3">
        <v>2077</v>
      </c>
    </row>
    <row r="64" spans="2:12" x14ac:dyDescent="0.25">
      <c r="B64" s="4" t="s">
        <v>69</v>
      </c>
      <c r="C64" s="5">
        <v>25346</v>
      </c>
      <c r="D64" s="5">
        <v>31317</v>
      </c>
      <c r="E64" s="5">
        <v>31921</v>
      </c>
      <c r="F64" s="5">
        <v>33168</v>
      </c>
      <c r="G64" s="5">
        <v>33440</v>
      </c>
      <c r="H64" s="5">
        <v>30561</v>
      </c>
      <c r="I64" s="5">
        <v>25764</v>
      </c>
      <c r="J64" s="5">
        <v>23220</v>
      </c>
      <c r="K64" s="5">
        <v>18977</v>
      </c>
      <c r="L64" s="5">
        <v>19058</v>
      </c>
    </row>
    <row r="65" spans="1:12" x14ac:dyDescent="0.25">
      <c r="B65" s="4" t="s">
        <v>70</v>
      </c>
      <c r="C65" s="5">
        <v>48671</v>
      </c>
      <c r="D65" s="5">
        <v>72921</v>
      </c>
      <c r="E65" s="5">
        <v>79974</v>
      </c>
      <c r="F65" s="5">
        <v>86174</v>
      </c>
      <c r="G65" s="5">
        <v>90055</v>
      </c>
      <c r="H65" s="5">
        <v>92023</v>
      </c>
      <c r="I65" s="5">
        <v>89996</v>
      </c>
      <c r="J65" s="5">
        <v>87270</v>
      </c>
      <c r="K65" s="5">
        <v>87896</v>
      </c>
      <c r="L65" s="5">
        <v>83216</v>
      </c>
    </row>
    <row r="67" spans="1:12" x14ac:dyDescent="0.25">
      <c r="A67" t="s">
        <v>71</v>
      </c>
    </row>
    <row r="68" spans="1:12" x14ac:dyDescent="0.25">
      <c r="B68" t="s">
        <v>2</v>
      </c>
      <c r="C68" t="s">
        <v>3</v>
      </c>
      <c r="D68" t="s">
        <v>4</v>
      </c>
      <c r="E68" t="s">
        <v>5</v>
      </c>
      <c r="F68" t="s">
        <v>6</v>
      </c>
      <c r="G68" t="s">
        <v>7</v>
      </c>
      <c r="H68" t="s">
        <v>8</v>
      </c>
      <c r="I68" t="s">
        <v>9</v>
      </c>
      <c r="J68" t="s">
        <v>10</v>
      </c>
      <c r="K68" t="s">
        <v>11</v>
      </c>
      <c r="L68" t="s">
        <v>12</v>
      </c>
    </row>
    <row r="69" spans="1:12" x14ac:dyDescent="0.25">
      <c r="B69" t="s">
        <v>25</v>
      </c>
      <c r="C69" s="3">
        <v>6906</v>
      </c>
      <c r="D69" s="3">
        <v>11837</v>
      </c>
      <c r="E69" s="3">
        <v>8646</v>
      </c>
      <c r="F69" s="3">
        <v>9086</v>
      </c>
      <c r="G69" s="3">
        <v>8626</v>
      </c>
      <c r="H69" s="3">
        <v>7124</v>
      </c>
      <c r="I69" s="3">
        <v>7366</v>
      </c>
      <c r="J69" s="3">
        <v>6550</v>
      </c>
      <c r="K69" s="3">
        <v>1283</v>
      </c>
      <c r="L69" s="3">
        <v>6476</v>
      </c>
    </row>
    <row r="70" spans="1:12" x14ac:dyDescent="0.25">
      <c r="B70" t="s">
        <v>72</v>
      </c>
      <c r="C70" s="3">
        <v>1236</v>
      </c>
      <c r="D70" s="3">
        <v>1443</v>
      </c>
      <c r="E70" s="3">
        <v>1954</v>
      </c>
      <c r="F70" s="3">
        <v>1982</v>
      </c>
      <c r="G70" s="3">
        <v>1977</v>
      </c>
      <c r="H70" s="3">
        <v>1976</v>
      </c>
      <c r="I70" s="3">
        <v>1970</v>
      </c>
      <c r="J70" s="3">
        <v>1787</v>
      </c>
      <c r="K70" s="3">
        <v>1260</v>
      </c>
      <c r="L70" s="3">
        <v>1086</v>
      </c>
    </row>
    <row r="71" spans="1:12" x14ac:dyDescent="0.25">
      <c r="B71" t="s">
        <v>73</v>
      </c>
      <c r="I71" s="3">
        <v>0</v>
      </c>
      <c r="J71" s="3">
        <v>0</v>
      </c>
      <c r="K71" s="3">
        <v>-101</v>
      </c>
      <c r="L71" s="3">
        <v>251</v>
      </c>
    </row>
    <row r="72" spans="1:12" x14ac:dyDescent="0.25">
      <c r="B72" t="s">
        <v>27</v>
      </c>
      <c r="I72" s="3">
        <v>7366</v>
      </c>
      <c r="J72" s="3">
        <v>6550</v>
      </c>
      <c r="K72" s="3">
        <v>1182</v>
      </c>
      <c r="L72" s="3">
        <v>6727</v>
      </c>
    </row>
    <row r="73" spans="1:12" x14ac:dyDescent="0.25">
      <c r="B73" t="s">
        <v>74</v>
      </c>
      <c r="C73" s="3">
        <v>241</v>
      </c>
      <c r="D73" s="3">
        <v>380</v>
      </c>
      <c r="E73" s="3">
        <v>354</v>
      </c>
      <c r="F73" s="3">
        <v>259</v>
      </c>
      <c r="G73" s="3">
        <v>227</v>
      </c>
      <c r="H73" s="3">
        <v>209</v>
      </c>
      <c r="I73" s="3">
        <v>236</v>
      </c>
      <c r="J73" s="3">
        <v>258</v>
      </c>
      <c r="K73" s="3">
        <v>219</v>
      </c>
      <c r="L73" s="3">
        <v>225</v>
      </c>
    </row>
    <row r="74" spans="1:12" x14ac:dyDescent="0.25">
      <c r="B74" t="s">
        <v>61</v>
      </c>
      <c r="C74" s="3">
        <v>353</v>
      </c>
      <c r="D74" s="3">
        <v>604</v>
      </c>
      <c r="E74" s="3">
        <v>1035</v>
      </c>
      <c r="F74" s="3">
        <v>632</v>
      </c>
      <c r="G74" s="3">
        <v>648</v>
      </c>
      <c r="H74" s="3">
        <v>-40</v>
      </c>
      <c r="I74" s="3">
        <v>73</v>
      </c>
      <c r="J74" s="3">
        <v>-856</v>
      </c>
      <c r="K74" s="3">
        <v>-1256</v>
      </c>
      <c r="L74" s="3">
        <v>-450</v>
      </c>
    </row>
    <row r="75" spans="1:12" x14ac:dyDescent="0.25">
      <c r="B75" t="s">
        <v>75</v>
      </c>
      <c r="C75" s="3">
        <v>-359</v>
      </c>
      <c r="D75" s="3">
        <v>-671</v>
      </c>
      <c r="E75" s="3">
        <v>-269</v>
      </c>
      <c r="F75" s="3">
        <v>-426</v>
      </c>
      <c r="G75" s="3">
        <v>-201</v>
      </c>
      <c r="H75" s="3">
        <v>-371</v>
      </c>
      <c r="I75" s="3">
        <v>-122</v>
      </c>
      <c r="J75" s="3">
        <v>-449</v>
      </c>
      <c r="K75" s="3">
        <v>-628</v>
      </c>
      <c r="L75" s="3">
        <v>-457</v>
      </c>
    </row>
    <row r="76" spans="1:12" x14ac:dyDescent="0.25">
      <c r="B76" t="s">
        <v>76</v>
      </c>
      <c r="C76" s="3">
        <v>61</v>
      </c>
      <c r="D76" s="3">
        <v>151</v>
      </c>
      <c r="E76" s="3">
        <v>7</v>
      </c>
      <c r="F76" s="3">
        <v>-130</v>
      </c>
      <c r="G76" s="3">
        <v>168</v>
      </c>
      <c r="H76" s="3">
        <v>415</v>
      </c>
      <c r="I76" s="3">
        <v>-137</v>
      </c>
      <c r="J76" s="3">
        <v>158</v>
      </c>
      <c r="K76" s="3">
        <v>281</v>
      </c>
      <c r="L76" s="3">
        <v>-38</v>
      </c>
    </row>
    <row r="77" spans="1:12" x14ac:dyDescent="0.25">
      <c r="B77" t="s">
        <v>77</v>
      </c>
      <c r="C77" s="3">
        <v>-43</v>
      </c>
      <c r="D77" s="3">
        <v>-645</v>
      </c>
      <c r="E77" s="3">
        <v>-220</v>
      </c>
      <c r="F77" s="3">
        <v>-98</v>
      </c>
      <c r="G77" s="3">
        <v>-670</v>
      </c>
      <c r="H77" s="3">
        <v>831</v>
      </c>
      <c r="I77" s="3">
        <v>-374</v>
      </c>
      <c r="J77" s="3">
        <v>1146</v>
      </c>
      <c r="K77" s="3">
        <v>1459</v>
      </c>
      <c r="L77" s="3">
        <v>189</v>
      </c>
    </row>
    <row r="78" spans="1:12" x14ac:dyDescent="0.25">
      <c r="B78" t="s">
        <v>78</v>
      </c>
      <c r="C78" s="3">
        <v>0</v>
      </c>
      <c r="D78" s="3">
        <v>-4713</v>
      </c>
    </row>
    <row r="79" spans="1:12" x14ac:dyDescent="0.25">
      <c r="B79" t="s">
        <v>17</v>
      </c>
      <c r="C79" s="3">
        <v>134</v>
      </c>
      <c r="D79" s="3">
        <v>264</v>
      </c>
      <c r="E79" s="3">
        <v>214</v>
      </c>
      <c r="F79" s="3">
        <v>166</v>
      </c>
      <c r="G79" s="3">
        <v>465</v>
      </c>
      <c r="H79" s="3">
        <v>761</v>
      </c>
      <c r="I79" s="3">
        <v>929</v>
      </c>
      <c r="J79" s="3">
        <v>647</v>
      </c>
      <c r="K79" s="3">
        <v>1218</v>
      </c>
      <c r="L79" s="3">
        <v>558</v>
      </c>
    </row>
    <row r="80" spans="1:12" x14ac:dyDescent="0.25">
      <c r="B80" t="s">
        <v>79</v>
      </c>
      <c r="C80" s="3">
        <v>221</v>
      </c>
      <c r="D80" s="3">
        <v>512</v>
      </c>
      <c r="E80" s="3">
        <v>-354</v>
      </c>
      <c r="F80" s="3">
        <v>254</v>
      </c>
      <c r="G80" s="3">
        <v>234</v>
      </c>
      <c r="H80" s="3">
        <v>149</v>
      </c>
      <c r="I80" s="3">
        <v>744</v>
      </c>
      <c r="J80" s="3">
        <v>-224</v>
      </c>
      <c r="K80" s="3">
        <v>-269</v>
      </c>
      <c r="L80" s="3">
        <v>682</v>
      </c>
    </row>
    <row r="81" spans="2:12" x14ac:dyDescent="0.25">
      <c r="B81" t="s">
        <v>80</v>
      </c>
      <c r="C81" s="3">
        <v>-564</v>
      </c>
      <c r="D81" s="3">
        <v>370</v>
      </c>
      <c r="E81" s="3">
        <v>-1893</v>
      </c>
      <c r="F81" s="3">
        <v>-1080</v>
      </c>
      <c r="G81" s="3">
        <v>-932</v>
      </c>
      <c r="H81" s="3">
        <v>-439</v>
      </c>
      <c r="I81" s="3">
        <v>-157</v>
      </c>
      <c r="J81" s="3">
        <v>-221</v>
      </c>
      <c r="K81" s="3">
        <v>3464</v>
      </c>
      <c r="L81" s="3">
        <v>-1202</v>
      </c>
    </row>
    <row r="82" spans="2:12" x14ac:dyDescent="0.25">
      <c r="B82" s="4" t="s">
        <v>81</v>
      </c>
      <c r="C82" s="5">
        <v>8186</v>
      </c>
      <c r="D82" s="5">
        <v>9532</v>
      </c>
      <c r="E82" s="5">
        <v>9474</v>
      </c>
      <c r="F82" s="5">
        <v>10645</v>
      </c>
      <c r="G82" s="5">
        <v>10542</v>
      </c>
      <c r="H82" s="5">
        <v>10615</v>
      </c>
      <c r="I82" s="5">
        <v>10528</v>
      </c>
      <c r="J82" s="5">
        <v>8796</v>
      </c>
      <c r="K82" s="5">
        <v>6930</v>
      </c>
      <c r="L82" s="5">
        <v>7320</v>
      </c>
    </row>
    <row r="83" spans="2:12" x14ac:dyDescent="0.25">
      <c r="B83" t="s">
        <v>82</v>
      </c>
      <c r="C83" s="3">
        <v>-2130</v>
      </c>
      <c r="D83" s="3">
        <v>-4579</v>
      </c>
    </row>
    <row r="84" spans="2:12" x14ac:dyDescent="0.25">
      <c r="B84" t="s">
        <v>83</v>
      </c>
      <c r="C84" s="3">
        <v>-22</v>
      </c>
      <c r="D84" s="3">
        <v>-132</v>
      </c>
      <c r="E84" s="3">
        <v>-4798</v>
      </c>
      <c r="F84" s="3">
        <v>-14824</v>
      </c>
      <c r="G84" s="3">
        <v>-14782</v>
      </c>
      <c r="H84" s="3">
        <v>-17800</v>
      </c>
      <c r="I84" s="3">
        <v>-15831</v>
      </c>
      <c r="J84" s="3">
        <v>-15499</v>
      </c>
      <c r="K84" s="3">
        <v>-17296</v>
      </c>
      <c r="L84" s="3">
        <v>-7789</v>
      </c>
    </row>
    <row r="85" spans="2:12" x14ac:dyDescent="0.25">
      <c r="B85" t="s">
        <v>84</v>
      </c>
      <c r="C85" s="3">
        <v>0</v>
      </c>
      <c r="D85" s="3">
        <v>4032</v>
      </c>
      <c r="E85" s="3">
        <v>5811</v>
      </c>
      <c r="F85" s="3">
        <v>7791</v>
      </c>
      <c r="G85" s="3">
        <v>12791</v>
      </c>
      <c r="H85" s="3">
        <v>12986</v>
      </c>
      <c r="I85" s="3">
        <v>14079</v>
      </c>
      <c r="J85" s="3">
        <v>16624</v>
      </c>
      <c r="K85" s="3">
        <v>16694</v>
      </c>
      <c r="L85" s="3">
        <v>14977</v>
      </c>
    </row>
    <row r="86" spans="2:12" x14ac:dyDescent="0.25">
      <c r="B86" t="s">
        <v>85</v>
      </c>
      <c r="C86" s="3">
        <v>-300</v>
      </c>
      <c r="D86" s="3">
        <v>-2511</v>
      </c>
      <c r="E86" s="3">
        <v>-971</v>
      </c>
      <c r="F86" s="3">
        <v>-1486</v>
      </c>
      <c r="G86" s="3">
        <v>-353</v>
      </c>
      <c r="H86" s="3">
        <v>-389</v>
      </c>
      <c r="I86" s="3">
        <v>-2491</v>
      </c>
      <c r="J86" s="3">
        <v>-838</v>
      </c>
      <c r="K86" s="3">
        <v>-3809</v>
      </c>
      <c r="L86" s="3">
        <v>-1040</v>
      </c>
    </row>
    <row r="87" spans="2:12" x14ac:dyDescent="0.25">
      <c r="B87" t="s">
        <v>86</v>
      </c>
      <c r="C87" s="3">
        <v>240</v>
      </c>
      <c r="D87" s="3">
        <v>972</v>
      </c>
      <c r="E87" s="3">
        <v>398</v>
      </c>
      <c r="F87" s="3">
        <v>20</v>
      </c>
      <c r="G87" s="3">
        <v>872</v>
      </c>
      <c r="H87" s="3">
        <v>148</v>
      </c>
      <c r="I87" s="3">
        <v>565</v>
      </c>
      <c r="J87" s="3">
        <v>1035</v>
      </c>
      <c r="K87" s="3">
        <v>3821</v>
      </c>
      <c r="L87" s="3">
        <v>1362</v>
      </c>
    </row>
    <row r="88" spans="2:12" x14ac:dyDescent="0.25">
      <c r="B88" t="s">
        <v>87</v>
      </c>
      <c r="C88" s="3">
        <v>-1993</v>
      </c>
      <c r="D88" s="3">
        <v>-2215</v>
      </c>
      <c r="E88" s="3">
        <v>-2920</v>
      </c>
      <c r="F88" s="3">
        <v>-2780</v>
      </c>
      <c r="G88" s="3">
        <v>-2550</v>
      </c>
      <c r="H88" s="3">
        <v>-2406</v>
      </c>
      <c r="I88" s="3">
        <v>-2553</v>
      </c>
      <c r="J88" s="3">
        <v>-2262</v>
      </c>
      <c r="K88" s="3">
        <v>-1675</v>
      </c>
      <c r="L88" s="3">
        <v>-1347</v>
      </c>
    </row>
    <row r="89" spans="2:12" x14ac:dyDescent="0.25">
      <c r="B89" t="s">
        <v>88</v>
      </c>
      <c r="C89" s="3">
        <v>104</v>
      </c>
      <c r="D89" s="3">
        <v>134</v>
      </c>
      <c r="E89" s="3">
        <v>101</v>
      </c>
      <c r="F89" s="3">
        <v>143</v>
      </c>
      <c r="G89" s="3">
        <v>111</v>
      </c>
      <c r="H89" s="3">
        <v>223</v>
      </c>
      <c r="I89" s="3">
        <v>85</v>
      </c>
      <c r="J89" s="3">
        <v>150</v>
      </c>
      <c r="K89" s="3">
        <v>104</v>
      </c>
      <c r="L89" s="3">
        <v>245</v>
      </c>
    </row>
    <row r="90" spans="2:12" x14ac:dyDescent="0.25">
      <c r="B90" t="s">
        <v>89</v>
      </c>
      <c r="C90" s="3">
        <v>-48</v>
      </c>
      <c r="D90" s="3">
        <v>-106</v>
      </c>
      <c r="E90" s="3">
        <v>-145</v>
      </c>
      <c r="F90" s="3">
        <v>-268</v>
      </c>
      <c r="G90" s="3">
        <v>-303</v>
      </c>
      <c r="H90" s="3">
        <v>-268</v>
      </c>
      <c r="I90" s="3">
        <v>-40</v>
      </c>
      <c r="J90" s="3">
        <v>-209</v>
      </c>
      <c r="K90" s="3">
        <v>-93</v>
      </c>
      <c r="L90" s="3">
        <v>-60</v>
      </c>
    </row>
    <row r="91" spans="2:12" x14ac:dyDescent="0.25">
      <c r="B91" s="4" t="s">
        <v>90</v>
      </c>
      <c r="C91" s="5">
        <v>-4149</v>
      </c>
      <c r="D91" s="5">
        <v>-4405</v>
      </c>
      <c r="E91" s="5">
        <v>-2524</v>
      </c>
      <c r="F91" s="5">
        <v>-11404</v>
      </c>
      <c r="G91" s="5">
        <v>-4214</v>
      </c>
      <c r="H91" s="5">
        <v>-7506</v>
      </c>
      <c r="I91" s="5">
        <v>-6186</v>
      </c>
      <c r="J91" s="5">
        <v>-999</v>
      </c>
      <c r="K91" s="5">
        <v>-2254</v>
      </c>
      <c r="L91" s="5">
        <v>6348</v>
      </c>
    </row>
    <row r="92" spans="2:12" x14ac:dyDescent="0.25">
      <c r="B92" t="s">
        <v>91</v>
      </c>
      <c r="C92" s="3">
        <v>14689</v>
      </c>
      <c r="D92" s="3">
        <v>15251</v>
      </c>
      <c r="E92" s="3">
        <v>27495</v>
      </c>
      <c r="F92" s="3">
        <v>42791</v>
      </c>
      <c r="G92" s="3">
        <v>43425</v>
      </c>
      <c r="H92" s="3">
        <v>41674</v>
      </c>
      <c r="I92" s="3">
        <v>40434</v>
      </c>
      <c r="J92" s="3">
        <v>27281</v>
      </c>
      <c r="K92" s="3">
        <v>29857</v>
      </c>
      <c r="L92" s="3">
        <v>27339</v>
      </c>
    </row>
    <row r="93" spans="2:12" x14ac:dyDescent="0.25">
      <c r="B93" t="s">
        <v>92</v>
      </c>
      <c r="C93" s="3">
        <v>-12326</v>
      </c>
      <c r="D93" s="3">
        <v>-13403</v>
      </c>
      <c r="E93" s="3">
        <v>-22530</v>
      </c>
      <c r="F93" s="3">
        <v>-38573</v>
      </c>
      <c r="G93" s="3">
        <v>-38714</v>
      </c>
      <c r="H93" s="3">
        <v>-36962</v>
      </c>
      <c r="I93" s="3">
        <v>-37738</v>
      </c>
      <c r="J93" s="3">
        <v>-25615</v>
      </c>
      <c r="K93" s="3">
        <v>-28768</v>
      </c>
      <c r="L93" s="3">
        <v>-30568</v>
      </c>
    </row>
    <row r="94" spans="2:12" x14ac:dyDescent="0.25">
      <c r="B94" t="s">
        <v>93</v>
      </c>
      <c r="C94" s="3">
        <v>664</v>
      </c>
      <c r="D94" s="3">
        <v>1666</v>
      </c>
      <c r="E94" s="3">
        <v>1569</v>
      </c>
      <c r="F94" s="3">
        <v>1489</v>
      </c>
      <c r="G94" s="3">
        <v>1328</v>
      </c>
      <c r="H94" s="3">
        <v>1532</v>
      </c>
      <c r="I94" s="3">
        <v>1245</v>
      </c>
      <c r="J94" s="3">
        <v>1434</v>
      </c>
      <c r="K94" s="3">
        <v>1595</v>
      </c>
      <c r="L94" s="3">
        <v>1476</v>
      </c>
    </row>
    <row r="95" spans="2:12" x14ac:dyDescent="0.25">
      <c r="B95" t="s">
        <v>94</v>
      </c>
      <c r="C95" s="3">
        <v>-1518</v>
      </c>
      <c r="D95" s="3">
        <v>-2961</v>
      </c>
      <c r="E95" s="3">
        <v>-4513</v>
      </c>
      <c r="F95" s="3">
        <v>-4559</v>
      </c>
      <c r="G95" s="3">
        <v>-4832</v>
      </c>
      <c r="H95" s="3">
        <v>-4162</v>
      </c>
      <c r="I95" s="3">
        <v>-3564</v>
      </c>
      <c r="J95" s="3">
        <v>-3681</v>
      </c>
      <c r="K95" s="3">
        <v>-3682</v>
      </c>
      <c r="L95" s="3">
        <v>-1912</v>
      </c>
    </row>
    <row r="96" spans="2:12" x14ac:dyDescent="0.25">
      <c r="B96" t="s">
        <v>95</v>
      </c>
      <c r="C96" s="3">
        <v>-3800</v>
      </c>
      <c r="D96" s="3">
        <v>-4068</v>
      </c>
      <c r="E96" s="3">
        <v>-4300</v>
      </c>
      <c r="F96" s="3">
        <v>-4595</v>
      </c>
      <c r="G96" s="3">
        <v>-4969</v>
      </c>
      <c r="H96" s="3">
        <v>-5350</v>
      </c>
      <c r="I96" s="3">
        <v>-5741</v>
      </c>
      <c r="J96" s="3">
        <v>-6043</v>
      </c>
      <c r="K96" s="3">
        <v>-6320</v>
      </c>
      <c r="L96" s="3">
        <v>-6644</v>
      </c>
    </row>
    <row r="97" spans="2:12" x14ac:dyDescent="0.25">
      <c r="B97" t="s">
        <v>96</v>
      </c>
      <c r="C97" s="3">
        <v>-2</v>
      </c>
      <c r="D97" s="3">
        <v>50</v>
      </c>
      <c r="E97" s="3">
        <v>45</v>
      </c>
      <c r="F97" s="3">
        <v>100</v>
      </c>
      <c r="G97" s="3">
        <v>17</v>
      </c>
      <c r="H97" s="3">
        <v>-363</v>
      </c>
      <c r="I97" s="3">
        <v>251</v>
      </c>
      <c r="J97" s="3">
        <v>79</v>
      </c>
      <c r="K97" s="3">
        <v>-91</v>
      </c>
      <c r="L97" s="3">
        <v>-243</v>
      </c>
    </row>
    <row r="98" spans="2:12" x14ac:dyDescent="0.25">
      <c r="B98" s="4" t="s">
        <v>97</v>
      </c>
      <c r="C98" s="5">
        <v>-2293</v>
      </c>
      <c r="D98" s="5">
        <v>-3465</v>
      </c>
      <c r="E98" s="5">
        <v>-2234</v>
      </c>
      <c r="F98" s="5">
        <v>-3347</v>
      </c>
      <c r="G98" s="5">
        <v>-3745</v>
      </c>
      <c r="H98" s="5">
        <v>-3631</v>
      </c>
      <c r="I98" s="5">
        <v>-5113</v>
      </c>
      <c r="J98" s="5">
        <v>-6545</v>
      </c>
      <c r="K98" s="5">
        <v>-7409</v>
      </c>
      <c r="L98" s="5">
        <v>-10552</v>
      </c>
    </row>
    <row r="99" spans="2:12" x14ac:dyDescent="0.25">
      <c r="B99" t="s">
        <v>98</v>
      </c>
      <c r="I99" s="3">
        <v>0</v>
      </c>
      <c r="J99" s="3">
        <v>0</v>
      </c>
      <c r="K99" s="3">
        <v>111</v>
      </c>
      <c r="L99" s="3">
        <v>307</v>
      </c>
    </row>
    <row r="100" spans="2:12" x14ac:dyDescent="0.25">
      <c r="B100" t="s">
        <v>99</v>
      </c>
      <c r="C100" s="3">
        <v>576</v>
      </c>
      <c r="D100" s="3">
        <v>-166</v>
      </c>
      <c r="E100" s="3">
        <v>-430</v>
      </c>
      <c r="F100" s="3">
        <v>-255</v>
      </c>
      <c r="G100" s="3">
        <v>-611</v>
      </c>
      <c r="H100" s="3">
        <v>-934</v>
      </c>
      <c r="I100" s="3">
        <v>-878</v>
      </c>
      <c r="J100" s="3">
        <v>-6</v>
      </c>
      <c r="K100" s="3">
        <v>241</v>
      </c>
      <c r="L100" s="3">
        <v>-262</v>
      </c>
    </row>
    <row r="101" spans="2:12" x14ac:dyDescent="0.25">
      <c r="B101" t="s">
        <v>100</v>
      </c>
      <c r="I101" s="3">
        <v>0</v>
      </c>
      <c r="J101" s="3">
        <v>0</v>
      </c>
      <c r="K101" s="3">
        <v>-58</v>
      </c>
      <c r="L101" s="3">
        <v>-421</v>
      </c>
    </row>
    <row r="102" spans="2:12" x14ac:dyDescent="0.25">
      <c r="B102" t="s">
        <v>101</v>
      </c>
      <c r="I102" s="3">
        <v>0</v>
      </c>
      <c r="J102" s="3">
        <v>0</v>
      </c>
      <c r="K102" s="3">
        <v>-38</v>
      </c>
      <c r="L102" s="3">
        <v>205</v>
      </c>
    </row>
    <row r="103" spans="2:12" x14ac:dyDescent="0.25">
      <c r="B103" t="s">
        <v>102</v>
      </c>
      <c r="I103" s="3">
        <v>0</v>
      </c>
      <c r="J103" s="3">
        <v>0</v>
      </c>
      <c r="K103" s="3">
        <v>15</v>
      </c>
      <c r="L103" s="3">
        <v>91</v>
      </c>
    </row>
    <row r="104" spans="2:12" x14ac:dyDescent="0.25">
      <c r="B104" s="4" t="s">
        <v>103</v>
      </c>
      <c r="C104" s="5">
        <v>2320</v>
      </c>
      <c r="D104" s="5">
        <v>1496</v>
      </c>
      <c r="E104" s="5">
        <v>4286</v>
      </c>
      <c r="F104" s="5">
        <v>-4361</v>
      </c>
      <c r="G104" s="5">
        <v>1972</v>
      </c>
      <c r="H104" s="5">
        <v>-1456</v>
      </c>
      <c r="I104" s="5">
        <v>-1649</v>
      </c>
      <c r="J104" s="5">
        <v>1246</v>
      </c>
      <c r="K104" s="5">
        <v>-2477</v>
      </c>
      <c r="L104" s="5">
        <v>2945</v>
      </c>
    </row>
  </sheetData>
  <sheetProtection formatCells="0" formatColumns="0" formatRows="0" insertColumns="0" insertRows="0" insertHyperlinks="0" deleteColumns="0" deleteRows="0" sort="0" autoFilter="0" pivotTables="0"/>
  <hyperlinks>
    <hyperlink ref="A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DAHBOARD</vt:lpstr>
      <vt:lpstr>KPI</vt:lpstr>
      <vt:lpstr>P&amp;L Clean</vt:lpstr>
      <vt:lpstr>Balance Sheet Clean</vt:lpstr>
      <vt:lpstr>Cash Flow Clean</vt:lpstr>
      <vt:lpstr>Ratios</vt:lpstr>
      <vt:lpstr>COCA COLA CO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Flassbeck</dc:creator>
  <cp:keywords/>
  <dc:description/>
  <cp:lastModifiedBy>AISWARYA LAKSHMI</cp:lastModifiedBy>
  <dcterms:created xsi:type="dcterms:W3CDTF">2016-07-27T10:12:29Z</dcterms:created>
  <dcterms:modified xsi:type="dcterms:W3CDTF">2026-07-10T06:24:02Z</dcterms:modified>
  <cp:category/>
</cp:coreProperties>
</file>